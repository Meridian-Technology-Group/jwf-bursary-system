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whitgiftfoundation-my.sharepoint.com/personal/charlotteperrier_johnwhitgiftfoundation_org/Documents/Documents/"/>
    </mc:Choice>
  </mc:AlternateContent>
  <xr:revisionPtr revIDLastSave="10" documentId="14_{E722EF4F-5169-4E6A-9909-689F665616A7}" xr6:coauthVersionLast="47" xr6:coauthVersionMax="47" xr10:uidLastSave="{0F14C84B-B190-4A3B-B731-37CF8D5E9A03}"/>
  <bookViews>
    <workbookView xWindow="-120" yWindow="-120" windowWidth="29040" windowHeight="15720" tabRatio="758" activeTab="2" xr2:uid="{C6ABE414-1C7C-47DC-AAD7-A8FB785B48A4}"/>
  </bookViews>
  <sheets>
    <sheet name="SUMMARY" sheetId="8" r:id="rId1"/>
    <sheet name="ASSESSMENT PAGE" sheetId="1" r:id="rId2"/>
    <sheet name="LINKED NOTIONALS" sheetId="9" r:id="rId3"/>
    <sheet name="PROFILING CATEGORIES" sheetId="11" r:id="rId4"/>
    <sheet name="Council Tax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8" i="9" l="1"/>
  <c r="K38" i="9"/>
  <c r="J38" i="9"/>
  <c r="I38" i="9"/>
  <c r="H38" i="9"/>
  <c r="G38" i="9"/>
  <c r="L16" i="9"/>
  <c r="L15" i="9"/>
  <c r="K16" i="9"/>
  <c r="J16" i="9"/>
  <c r="I16" i="9"/>
  <c r="H16" i="9"/>
  <c r="G16" i="9"/>
  <c r="L23" i="9" l="1"/>
  <c r="K23" i="9"/>
  <c r="J23" i="9"/>
  <c r="I23" i="9"/>
  <c r="H23" i="9"/>
  <c r="G23" i="9"/>
  <c r="L13" i="9"/>
  <c r="K13" i="9"/>
  <c r="J13" i="9"/>
  <c r="I13" i="9"/>
  <c r="H13" i="9"/>
  <c r="G13" i="9"/>
  <c r="T9" i="9"/>
  <c r="S9" i="9"/>
  <c r="R9" i="9"/>
  <c r="Q9" i="9"/>
  <c r="P9" i="9"/>
  <c r="O9" i="9"/>
  <c r="L18" i="9"/>
  <c r="K18" i="9"/>
  <c r="J18" i="9"/>
  <c r="I18" i="9"/>
  <c r="H18" i="9"/>
  <c r="G18" i="9"/>
  <c r="L17" i="9"/>
  <c r="K17" i="9"/>
  <c r="J17" i="9"/>
  <c r="I17" i="9"/>
  <c r="H17" i="9"/>
  <c r="G17" i="9"/>
  <c r="L141" i="9"/>
  <c r="L142" i="9" s="1"/>
  <c r="K141" i="9"/>
  <c r="K142" i="9" s="1"/>
  <c r="J141" i="9"/>
  <c r="J142" i="9" s="1"/>
  <c r="I141" i="9"/>
  <c r="I142" i="9" s="1"/>
  <c r="H141" i="9"/>
  <c r="H142" i="9" s="1"/>
  <c r="L138" i="9"/>
  <c r="L139" i="9" s="1"/>
  <c r="K138" i="9"/>
  <c r="J138" i="9"/>
  <c r="I138" i="9"/>
  <c r="H138" i="9"/>
  <c r="H139" i="9" s="1"/>
  <c r="L135" i="9"/>
  <c r="K135" i="9"/>
  <c r="J135" i="9"/>
  <c r="I135" i="9"/>
  <c r="I136" i="9" s="1"/>
  <c r="H135" i="9"/>
  <c r="H136" i="9" s="1"/>
  <c r="L132" i="9"/>
  <c r="L133" i="9" s="1"/>
  <c r="K132" i="9"/>
  <c r="K133" i="9" s="1"/>
  <c r="J132" i="9"/>
  <c r="J133" i="9" s="1"/>
  <c r="I132" i="9"/>
  <c r="H132" i="9"/>
  <c r="L129" i="9"/>
  <c r="K129" i="9"/>
  <c r="J129" i="9"/>
  <c r="I129" i="9"/>
  <c r="I130" i="9" s="1"/>
  <c r="H129" i="9"/>
  <c r="H130" i="9" s="1"/>
  <c r="L126" i="9"/>
  <c r="L127" i="9" s="1"/>
  <c r="K126" i="9"/>
  <c r="K127" i="9" s="1"/>
  <c r="J126" i="9"/>
  <c r="J127" i="9" s="1"/>
  <c r="I126" i="9"/>
  <c r="I127" i="9" s="1"/>
  <c r="H126" i="9"/>
  <c r="H127" i="9" s="1"/>
  <c r="L123" i="9"/>
  <c r="K123" i="9"/>
  <c r="J123" i="9"/>
  <c r="I123" i="9"/>
  <c r="I124" i="9" s="1"/>
  <c r="H123" i="9"/>
  <c r="H124" i="9" s="1"/>
  <c r="L120" i="9"/>
  <c r="K120" i="9"/>
  <c r="J120" i="9"/>
  <c r="I120" i="9"/>
  <c r="H120" i="9"/>
  <c r="L117" i="9"/>
  <c r="K117" i="9"/>
  <c r="J117" i="9"/>
  <c r="I117" i="9"/>
  <c r="H117" i="9"/>
  <c r="L114" i="9"/>
  <c r="K114" i="9"/>
  <c r="K115" i="9" s="1"/>
  <c r="J114" i="9"/>
  <c r="I114" i="9"/>
  <c r="I115" i="9" s="1"/>
  <c r="H114" i="9"/>
  <c r="H115" i="9" s="1"/>
  <c r="L111" i="9"/>
  <c r="K111" i="9"/>
  <c r="J111" i="9"/>
  <c r="I111" i="9"/>
  <c r="H111" i="9"/>
  <c r="H112" i="9" s="1"/>
  <c r="L108" i="9"/>
  <c r="K108" i="9"/>
  <c r="J108" i="9"/>
  <c r="I108" i="9"/>
  <c r="H108" i="9"/>
  <c r="L105" i="9"/>
  <c r="K105" i="9"/>
  <c r="J105" i="9"/>
  <c r="I105" i="9"/>
  <c r="H105" i="9"/>
  <c r="L102" i="9"/>
  <c r="K102" i="9"/>
  <c r="J102" i="9"/>
  <c r="I102" i="9"/>
  <c r="H102" i="9"/>
  <c r="L99" i="9"/>
  <c r="K99" i="9"/>
  <c r="J99" i="9"/>
  <c r="I99" i="9"/>
  <c r="H99" i="9"/>
  <c r="L96" i="9"/>
  <c r="K96" i="9"/>
  <c r="J96" i="9"/>
  <c r="I96" i="9"/>
  <c r="H96" i="9"/>
  <c r="L93" i="9"/>
  <c r="K93" i="9"/>
  <c r="J93" i="9"/>
  <c r="I93" i="9"/>
  <c r="H93" i="9"/>
  <c r="H94" i="9" s="1"/>
  <c r="L90" i="9"/>
  <c r="K90" i="9"/>
  <c r="J90" i="9"/>
  <c r="I90" i="9"/>
  <c r="H90" i="9"/>
  <c r="H91" i="9" s="1"/>
  <c r="L87" i="9"/>
  <c r="K87" i="9"/>
  <c r="J87" i="9"/>
  <c r="I87" i="9"/>
  <c r="I88" i="9" s="1"/>
  <c r="H87" i="9"/>
  <c r="H88" i="9" s="1"/>
  <c r="L84" i="9"/>
  <c r="K84" i="9"/>
  <c r="J84" i="9"/>
  <c r="I84" i="9"/>
  <c r="H84" i="9"/>
  <c r="L81" i="9"/>
  <c r="K81" i="9"/>
  <c r="J81" i="9"/>
  <c r="I81" i="9"/>
  <c r="I82" i="9" s="1"/>
  <c r="H81" i="9"/>
  <c r="L78" i="9"/>
  <c r="K78" i="9"/>
  <c r="J78" i="9"/>
  <c r="I78" i="9"/>
  <c r="H78" i="9"/>
  <c r="L75" i="9"/>
  <c r="K75" i="9"/>
  <c r="J75" i="9"/>
  <c r="I75" i="9"/>
  <c r="H75" i="9"/>
  <c r="L72" i="9"/>
  <c r="K72" i="9"/>
  <c r="J72" i="9"/>
  <c r="I72" i="9"/>
  <c r="H72" i="9"/>
  <c r="L69" i="9"/>
  <c r="K69" i="9"/>
  <c r="J69" i="9"/>
  <c r="I69" i="9"/>
  <c r="H69" i="9"/>
  <c r="L66" i="9"/>
  <c r="K66" i="9"/>
  <c r="J66" i="9"/>
  <c r="I66" i="9"/>
  <c r="I67" i="9" s="1"/>
  <c r="H66" i="9"/>
  <c r="H67" i="9" s="1"/>
  <c r="L63" i="9"/>
  <c r="K63" i="9"/>
  <c r="J63" i="9"/>
  <c r="I63" i="9"/>
  <c r="H63" i="9"/>
  <c r="L60" i="9"/>
  <c r="K60" i="9"/>
  <c r="K61" i="9" s="1"/>
  <c r="J60" i="9"/>
  <c r="I60" i="9"/>
  <c r="H60" i="9"/>
  <c r="L57" i="9"/>
  <c r="K57" i="9"/>
  <c r="J57" i="9"/>
  <c r="I57" i="9"/>
  <c r="H57" i="9"/>
  <c r="H58" i="9" s="1"/>
  <c r="L54" i="9"/>
  <c r="K54" i="9"/>
  <c r="J54" i="9"/>
  <c r="I54" i="9"/>
  <c r="H54" i="9"/>
  <c r="L51" i="9"/>
  <c r="K51" i="9"/>
  <c r="J51" i="9"/>
  <c r="I51" i="9"/>
  <c r="H51" i="9"/>
  <c r="J124" i="9"/>
  <c r="L118" i="9"/>
  <c r="L115" i="9"/>
  <c r="H97" i="9"/>
  <c r="I94" i="9"/>
  <c r="I91" i="9"/>
  <c r="J88" i="9"/>
  <c r="H76" i="9"/>
  <c r="L73" i="9"/>
  <c r="K73" i="9"/>
  <c r="H64" i="9"/>
  <c r="H61" i="9"/>
  <c r="H73" i="9"/>
  <c r="L61" i="9"/>
  <c r="K15" i="9"/>
  <c r="J15" i="9"/>
  <c r="I15" i="9"/>
  <c r="H15" i="9"/>
  <c r="G15" i="9"/>
  <c r="I197" i="1"/>
  <c r="H197" i="1"/>
  <c r="G197" i="1"/>
  <c r="F197" i="1"/>
  <c r="D208" i="1"/>
  <c r="L136" i="9"/>
  <c r="K136" i="9"/>
  <c r="J136" i="9"/>
  <c r="I133" i="9"/>
  <c r="H133" i="9"/>
  <c r="L70" i="9"/>
  <c r="K70" i="9"/>
  <c r="J70" i="9"/>
  <c r="I70" i="9"/>
  <c r="H70" i="9"/>
  <c r="G70" i="9"/>
  <c r="J73" i="9"/>
  <c r="I73" i="9"/>
  <c r="G73" i="9"/>
  <c r="L67" i="9"/>
  <c r="K67" i="9"/>
  <c r="J67" i="9"/>
  <c r="G67" i="9"/>
  <c r="G142" i="9"/>
  <c r="K139" i="9"/>
  <c r="J139" i="9"/>
  <c r="I139" i="9"/>
  <c r="G139" i="9"/>
  <c r="G136" i="9"/>
  <c r="G133" i="9"/>
  <c r="L130" i="9"/>
  <c r="K130" i="9"/>
  <c r="J130" i="9"/>
  <c r="G130" i="9"/>
  <c r="G127" i="9"/>
  <c r="L124" i="9"/>
  <c r="K124" i="9"/>
  <c r="G124" i="9"/>
  <c r="L121" i="9"/>
  <c r="K121" i="9"/>
  <c r="J121" i="9"/>
  <c r="I121" i="9"/>
  <c r="H121" i="9"/>
  <c r="G121" i="9"/>
  <c r="K118" i="9"/>
  <c r="J118" i="9"/>
  <c r="I118" i="9"/>
  <c r="H118" i="9"/>
  <c r="G118" i="9"/>
  <c r="J115" i="9"/>
  <c r="G115" i="9"/>
  <c r="L112" i="9"/>
  <c r="K112" i="9"/>
  <c r="J112" i="9"/>
  <c r="I112" i="9"/>
  <c r="G112" i="9"/>
  <c r="L109" i="9"/>
  <c r="K109" i="9"/>
  <c r="J109" i="9"/>
  <c r="I109" i="9"/>
  <c r="H109" i="9"/>
  <c r="G109" i="9"/>
  <c r="L106" i="9"/>
  <c r="K106" i="9"/>
  <c r="J106" i="9"/>
  <c r="I106" i="9"/>
  <c r="H106" i="9"/>
  <c r="G106" i="9"/>
  <c r="L103" i="9"/>
  <c r="K103" i="9"/>
  <c r="J103" i="9"/>
  <c r="I103" i="9"/>
  <c r="H103" i="9"/>
  <c r="G103" i="9"/>
  <c r="L100" i="9"/>
  <c r="K100" i="9"/>
  <c r="J100" i="9"/>
  <c r="I100" i="9"/>
  <c r="H100" i="9"/>
  <c r="G100" i="9"/>
  <c r="L97" i="9"/>
  <c r="K97" i="9"/>
  <c r="J97" i="9"/>
  <c r="I97" i="9"/>
  <c r="G97" i="9"/>
  <c r="L94" i="9"/>
  <c r="K94" i="9"/>
  <c r="J94" i="9"/>
  <c r="G94" i="9"/>
  <c r="L91" i="9"/>
  <c r="K91" i="9"/>
  <c r="J91" i="9"/>
  <c r="G91" i="9"/>
  <c r="L88" i="9"/>
  <c r="K88" i="9"/>
  <c r="G88" i="9"/>
  <c r="L85" i="9"/>
  <c r="K85" i="9"/>
  <c r="J85" i="9"/>
  <c r="I85" i="9"/>
  <c r="H85" i="9"/>
  <c r="G85" i="9"/>
  <c r="L82" i="9"/>
  <c r="K82" i="9"/>
  <c r="J82" i="9"/>
  <c r="H82" i="9"/>
  <c r="G82" i="9"/>
  <c r="L79" i="9"/>
  <c r="K79" i="9"/>
  <c r="J79" i="9"/>
  <c r="I79" i="9"/>
  <c r="H79" i="9"/>
  <c r="G79" i="9"/>
  <c r="L76" i="9"/>
  <c r="K76" i="9"/>
  <c r="J76" i="9"/>
  <c r="I76" i="9"/>
  <c r="G76" i="9"/>
  <c r="L64" i="9"/>
  <c r="K64" i="9"/>
  <c r="J64" i="9"/>
  <c r="I64" i="9"/>
  <c r="G64" i="9"/>
  <c r="J61" i="9"/>
  <c r="I61" i="9"/>
  <c r="G61" i="9"/>
  <c r="L58" i="9"/>
  <c r="K58" i="9"/>
  <c r="J58" i="9"/>
  <c r="I58" i="9"/>
  <c r="G58" i="9"/>
  <c r="L55" i="9"/>
  <c r="K55" i="9"/>
  <c r="J55" i="9"/>
  <c r="I55" i="9"/>
  <c r="H55" i="9"/>
  <c r="G55" i="9"/>
  <c r="L52" i="9"/>
  <c r="K52" i="9"/>
  <c r="J52" i="9"/>
  <c r="I52" i="9"/>
  <c r="H52" i="9"/>
  <c r="G52" i="9"/>
  <c r="L48" i="9" l="1"/>
  <c r="K48" i="9"/>
  <c r="J48" i="9"/>
  <c r="I48" i="9"/>
  <c r="H48" i="9"/>
  <c r="G48" i="9"/>
  <c r="L14" i="9"/>
  <c r="K14" i="9"/>
  <c r="J14" i="9"/>
  <c r="I14" i="9"/>
  <c r="H14" i="9"/>
  <c r="G14" i="9"/>
  <c r="G33" i="9"/>
  <c r="I27" i="9" s="1"/>
  <c r="L10" i="9"/>
  <c r="K10" i="9"/>
  <c r="J10" i="9"/>
  <c r="I10" i="9"/>
  <c r="H10" i="9"/>
  <c r="L19" i="9" l="1"/>
  <c r="L40" i="9" s="1"/>
  <c r="K19" i="9"/>
  <c r="K40" i="9" s="1"/>
  <c r="J19" i="9"/>
  <c r="J40" i="9" s="1"/>
  <c r="G19" i="9"/>
  <c r="G40" i="9" s="1"/>
  <c r="H19" i="9"/>
  <c r="H40" i="9" s="1"/>
  <c r="I19" i="9"/>
  <c r="I40" i="9" s="1"/>
  <c r="J27" i="9"/>
  <c r="K27" i="9"/>
  <c r="K47" i="9" s="1"/>
  <c r="K49" i="9" s="1"/>
  <c r="L27" i="9"/>
  <c r="L47" i="9" s="1"/>
  <c r="L49" i="9" s="1"/>
  <c r="G27" i="9"/>
  <c r="H27" i="9"/>
  <c r="H47" i="9" s="1"/>
  <c r="H49" i="9" s="1"/>
  <c r="J47" i="9" l="1"/>
  <c r="J49" i="9" s="1"/>
  <c r="J50" i="9" s="1"/>
  <c r="I47" i="9"/>
  <c r="I49" i="9" s="1"/>
  <c r="I50" i="9" s="1"/>
  <c r="G47" i="9"/>
  <c r="L50" i="9"/>
  <c r="G49" i="9"/>
  <c r="G50" i="9" s="1"/>
  <c r="H50" i="9"/>
  <c r="K50" i="9"/>
</calcChain>
</file>

<file path=xl/sharedStrings.xml><?xml version="1.0" encoding="utf-8"?>
<sst xmlns="http://schemas.openxmlformats.org/spreadsheetml/2006/main" count="850" uniqueCount="606">
  <si>
    <t>INCOME SECTION</t>
  </si>
  <si>
    <t>FIRST EARNER</t>
  </si>
  <si>
    <t>SECOND EARNER</t>
  </si>
  <si>
    <t>IF UNEMPLOYED &amp; NOT ON BENEFITS</t>
  </si>
  <si>
    <t>NO CHANGE</t>
  </si>
  <si>
    <t>IF PAYE STATUS</t>
  </si>
  <si>
    <t>ADD YEARLY NET PAY</t>
  </si>
  <si>
    <t>IF ON BENEFITS</t>
  </si>
  <si>
    <t>ADD TAX CREDITS (WORKING &amp; CHILD)</t>
  </si>
  <si>
    <t>IF SELF-EMPLOYED &amp; A DIRECTOR</t>
  </si>
  <si>
    <t xml:space="preserve">ADD NET SALARY </t>
  </si>
  <si>
    <t>ADD NET DIVIDENDS AFTER TAX</t>
  </si>
  <si>
    <t>IF SELF-EMPLOYED &amp; A PARTNER OR SOLE TRADER</t>
  </si>
  <si>
    <t>ADD YEARLY COMPANY NET PROFITS AFTER TAX</t>
  </si>
  <si>
    <t>AUTO</t>
  </si>
  <si>
    <t>FAMILY TYPE CATEGORY</t>
  </si>
  <si>
    <t>(HNDI after NS)</t>
  </si>
  <si>
    <t>HOUSEHOLD'S NET DISPOSABLE INCOME AFTER NOTIONAL SPEND</t>
  </si>
  <si>
    <t>DEBT SITUATION WITH THE FOUNDATION</t>
  </si>
  <si>
    <t>ANNUAL SCHOOL FEES</t>
  </si>
  <si>
    <t>sole parent with 1 child</t>
  </si>
  <si>
    <t>parents with 1 child</t>
  </si>
  <si>
    <t>parents with 2 children</t>
  </si>
  <si>
    <t>parents with 3 children</t>
  </si>
  <si>
    <t xml:space="preserve">parents with 4 children </t>
  </si>
  <si>
    <t>parents with 5 children or more</t>
  </si>
  <si>
    <t>Council tax bands 2025 to 2026</t>
  </si>
  <si>
    <t>The total amount of Council Tax due for each property band.</t>
  </si>
  <si>
    <t>Band</t>
  </si>
  <si>
    <t>Croydon services</t>
  </si>
  <si>
    <t>Croydon adult social care precept</t>
  </si>
  <si>
    <t>GLA precept</t>
  </si>
  <si>
    <t>Overall tax 2025/26</t>
  </si>
  <si>
    <t>A</t>
  </si>
  <si>
    <t> £1,132.65 </t>
  </si>
  <si>
    <t>£194.09 </t>
  </si>
  <si>
    <t>£326.92 </t>
  </si>
  <si>
    <t>£1,653.66 </t>
  </si>
  <si>
    <t>B</t>
  </si>
  <si>
    <t>£1,321.42 </t>
  </si>
  <si>
    <t>£226.43 </t>
  </si>
  <si>
    <t>£1,929.26 </t>
  </si>
  <si>
    <t>C</t>
  </si>
  <si>
    <t>£1,510.20 </t>
  </si>
  <si>
    <t>£258.78 </t>
  </si>
  <si>
    <t>£435.89 </t>
  </si>
  <si>
    <t>£2,204.87 </t>
  </si>
  <si>
    <t>D</t>
  </si>
  <si>
    <t>£1,698.97 </t>
  </si>
  <si>
    <t>£291.13 </t>
  </si>
  <si>
    <t>£490.38 </t>
  </si>
  <si>
    <t>£2,480.48 </t>
  </si>
  <si>
    <t>E</t>
  </si>
  <si>
    <t>£2,076.52 </t>
  </si>
  <si>
    <t>£355.83 </t>
  </si>
  <si>
    <t>£599.35 </t>
  </si>
  <si>
    <t>£3,031.70 </t>
  </si>
  <si>
    <t>F</t>
  </si>
  <si>
    <t>£2,454.07 </t>
  </si>
  <si>
    <t>£420.52 </t>
  </si>
  <si>
    <t>£708.33 </t>
  </si>
  <si>
    <t>G</t>
  </si>
  <si>
    <t>£2,831.62 </t>
  </si>
  <si>
    <t>£485.22 </t>
  </si>
  <si>
    <t>£817.30 </t>
  </si>
  <si>
    <t>£4,134.14 </t>
  </si>
  <si>
    <t>H</t>
  </si>
  <si>
    <t>£3,397.94 </t>
  </si>
  <si>
    <t>£582.26 </t>
  </si>
  <si>
    <t>£980.76 </t>
  </si>
  <si>
    <t>£4,960.96 </t>
  </si>
  <si>
    <t>Council Tax bands in England (based on 1 April 1991 values)</t>
  </si>
  <si>
    <t>Value at 1 April 1991</t>
  </si>
  <si>
    <t>up to £40,000</t>
  </si>
  <si>
    <t>£40,001 to £52,000</t>
  </si>
  <si>
    <t>£52,001 to £68,000</t>
  </si>
  <si>
    <t>£68,001 to £88,000</t>
  </si>
  <si>
    <t>£88,001 to £120,000</t>
  </si>
  <si>
    <t>£120,001 to £160,000</t>
  </si>
  <si>
    <t>£160,001 to £320,000</t>
  </si>
  <si>
    <t>more than £320,000</t>
  </si>
  <si>
    <t>https://www.mycounciltax.org.uk/content/index</t>
  </si>
  <si>
    <t>Description</t>
  </si>
  <si>
    <t>Category</t>
  </si>
  <si>
    <t>Renting, does not own a property</t>
  </si>
  <si>
    <t>Family members</t>
  </si>
  <si>
    <t>Trinity</t>
  </si>
  <si>
    <t>Year 6</t>
  </si>
  <si>
    <t>Year 7</t>
  </si>
  <si>
    <t>rent</t>
  </si>
  <si>
    <t>Sports &amp; Leisure (£10/week/person)</t>
  </si>
  <si>
    <t>Internet (Broadband/Monthly mobile wifi - £25/month/adult)</t>
  </si>
  <si>
    <t>Family Category</t>
  </si>
  <si>
    <t>BURSARY ASSESSMENT MODEL</t>
  </si>
  <si>
    <r>
      <t xml:space="preserve">JWF's Bursary Assessment Model uses the overall </t>
    </r>
    <r>
      <rPr>
        <u/>
        <sz val="11"/>
        <color theme="1"/>
        <rFont val="Calibri"/>
        <family val="2"/>
      </rPr>
      <t>net</t>
    </r>
    <r>
      <rPr>
        <sz val="11"/>
        <color theme="1"/>
        <rFont val="Calibri"/>
        <family val="2"/>
      </rPr>
      <t xml:space="preserve"> earned income of the assessed household over a specific tax year.</t>
    </r>
  </si>
  <si>
    <t xml:space="preserve">OVERALL LOGIC </t>
  </si>
  <si>
    <t>(* HB paid every 4 weeks, EESA/JSA paid fortnightly,  UC/PIP/CARER'S/DLA paid monthly amount, CHB paid weekly or every 4 weeks)</t>
  </si>
  <si>
    <t>ADD YEARLY UNIVERSAL CREDIT</t>
  </si>
  <si>
    <t>IF RETIRED</t>
  </si>
  <si>
    <t>ADD PROPERTY INCOME AFTER TAX</t>
  </si>
  <si>
    <t>ADD INVESTMENT / OTHER  INCOME AFTER TAX</t>
  </si>
  <si>
    <t>ADD YEARLY HOUSING BENEFITS</t>
  </si>
  <si>
    <t>ADD YEARLY CHILD BENEFITS</t>
  </si>
  <si>
    <t>ADD YEARLY INCOME SUPPORT OR EESA</t>
  </si>
  <si>
    <t>ADD YEARLY CARER'S ALLOWANCE</t>
  </si>
  <si>
    <t>ADD YEARLY CHILDCARE SUPPORT</t>
  </si>
  <si>
    <t>ADD YEARLY OTHER BENEFITS</t>
  </si>
  <si>
    <t>ADD YEARLY DLA/ PIP</t>
  </si>
  <si>
    <t>IF UNEMPLOYED/ IN BETWEEN ROLES</t>
  </si>
  <si>
    <t>ADD NET FINAL SALARY STATED ON P45</t>
  </si>
  <si>
    <t>ADD REDUNDANCY/ SEVERANCE PAY</t>
  </si>
  <si>
    <t>ADD JSA SUPPORT</t>
  </si>
  <si>
    <t>ADD STUDENT SUPPORT</t>
  </si>
  <si>
    <t>ADD PARENTAL/ADOPTION/SICKNESS NET PAY</t>
  </si>
  <si>
    <t>ADD YEARLY STATE PENSION</t>
  </si>
  <si>
    <t>ADD YEARLY PRIVATE PENSION/ OTHER PLAN</t>
  </si>
  <si>
    <t>IF SEPARATED/DIVORCED</t>
  </si>
  <si>
    <t>ADD YEARLY CHILD MAINTENANCE</t>
  </si>
  <si>
    <t>ADD EARNED INCOME PORTION FROM NEW SPOUSE IF REMARRIED</t>
  </si>
  <si>
    <t>IF RECEIVING SUPPORT FROM FRIENDS/FAMILY/OTHER 3RD PARTY</t>
  </si>
  <si>
    <t>HOUSEHOLD'S OVERALL NET INCOME</t>
  </si>
  <si>
    <t>Once calculated, it is called the Household's Overall Net Income</t>
  </si>
  <si>
    <t>The Household's Overall Net Income is then going through a benchmarking exercise using a logic of notional spend based on the size of the assessed family</t>
  </si>
  <si>
    <t>NOTIONAL SPEND BENCHMARKING</t>
  </si>
  <si>
    <t>To do so, the assessment model will use numbers (entered manually into fields by the assessor) which will be logically queried against a linked separate table sitting aside of the model page; this query will bring back a value which will then be automatically populated into the next field of the model page.</t>
  </si>
  <si>
    <t>FAMILY CATEGORY</t>
  </si>
  <si>
    <t>table 1</t>
  </si>
  <si>
    <t>SELECT FAMILY STUCTURE</t>
  </si>
  <si>
    <t>FAMILY STRUCTURE</t>
  </si>
  <si>
    <t>HIDDEN CALCULATION</t>
  </si>
  <si>
    <t>HIDDEN CALCULATION/ LOGIC</t>
  </si>
  <si>
    <t>ADDITIONAL PROCESS NOTES</t>
  </si>
  <si>
    <t>AUTO FILLED NUMBER</t>
  </si>
  <si>
    <t>NOTIONAL ACCOMMODATION SPEND</t>
  </si>
  <si>
    <t>table 2</t>
  </si>
  <si>
    <r>
      <rPr>
        <b/>
        <sz val="10"/>
        <color rgb="FFFF0000"/>
        <rFont val="Aptos Narrow"/>
        <family val="2"/>
        <scheme val="minor"/>
      </rPr>
      <t xml:space="preserve">DEDUCT </t>
    </r>
    <r>
      <rPr>
        <sz val="10"/>
        <color theme="1"/>
        <rFont val="Aptos Narrow"/>
        <family val="2"/>
        <scheme val="minor"/>
      </rPr>
      <t xml:space="preserve">NOTIONAL RENT </t>
    </r>
  </si>
  <si>
    <t>ADD BACK IN NOTIONAL RENT APPLIED</t>
  </si>
  <si>
    <t>MANUAL FILL</t>
  </si>
  <si>
    <t>table 3</t>
  </si>
  <si>
    <r>
      <rPr>
        <b/>
        <sz val="10"/>
        <color rgb="FFFF0000"/>
        <rFont val="Aptos Narrow"/>
        <family val="2"/>
        <scheme val="minor"/>
      </rPr>
      <t>DEDUCT</t>
    </r>
    <r>
      <rPr>
        <b/>
        <sz val="10"/>
        <color theme="1"/>
        <rFont val="Aptos Narrow"/>
        <family val="2"/>
        <scheme val="minor"/>
      </rPr>
      <t xml:space="preserve"> </t>
    </r>
    <r>
      <rPr>
        <sz val="10"/>
        <color theme="1"/>
        <rFont val="Aptos Narrow"/>
        <family val="2"/>
        <scheme val="minor"/>
      </rPr>
      <t>ANNUAL COUNCIL TAX</t>
    </r>
  </si>
  <si>
    <t>COUNCIL TAX NOTIONAL</t>
  </si>
  <si>
    <t>IF HOUSEHOLD RECEIVES FULL COUNCIL TAX SUPPORT</t>
  </si>
  <si>
    <t>ADD BACK IN COUNCIL TAX NOTIONAL</t>
  </si>
  <si>
    <t>Notional Rent</t>
  </si>
  <si>
    <t>Notional Council Tax</t>
  </si>
  <si>
    <t>table 4</t>
  </si>
  <si>
    <t>Notional Transportation</t>
  </si>
  <si>
    <t>NOTIONAL TRANSPORTATION SPEND</t>
  </si>
  <si>
    <t>CAR USE</t>
  </si>
  <si>
    <t>DOES THE FAMILY USE A CAR?</t>
  </si>
  <si>
    <t>YES/NO</t>
  </si>
  <si>
    <t>PUBLIC TRANSPORT USE</t>
  </si>
  <si>
    <t>DOES THE FAMILY USE PUBLIC TRANSPORT?</t>
  </si>
  <si>
    <t>NOTIONAL ESSENTIALS SPEND</t>
  </si>
  <si>
    <t>Essentials total</t>
  </si>
  <si>
    <t>table 5</t>
  </si>
  <si>
    <t>Notional Essentials</t>
  </si>
  <si>
    <r>
      <rPr>
        <b/>
        <sz val="10"/>
        <color rgb="FFFF0000"/>
        <rFont val="Aptos Narrow"/>
        <family val="2"/>
        <scheme val="minor"/>
      </rPr>
      <t xml:space="preserve">DEDUCT </t>
    </r>
    <r>
      <rPr>
        <sz val="10"/>
        <color theme="1"/>
        <rFont val="Aptos Narrow"/>
        <family val="2"/>
        <scheme val="minor"/>
      </rPr>
      <t>NOTIONAL ESSENTIALS</t>
    </r>
  </si>
  <si>
    <t>ADD ADJUSTED  LAST 12 MONTHS' RECEIVED CASH SUPPORT/NBER OF KIDS</t>
  </si>
  <si>
    <r>
      <rPr>
        <b/>
        <sz val="10"/>
        <color rgb="FFFF0000"/>
        <rFont val="Aptos Narrow"/>
        <family val="2"/>
        <scheme val="minor"/>
      </rPr>
      <t>IF YES, DEDUCT</t>
    </r>
    <r>
      <rPr>
        <sz val="10"/>
        <color theme="1"/>
        <rFont val="Aptos Narrow"/>
        <family val="2"/>
        <scheme val="minor"/>
      </rPr>
      <t xml:space="preserve"> NOTIONAL CAR SPEND</t>
    </r>
  </si>
  <si>
    <r>
      <rPr>
        <b/>
        <sz val="10"/>
        <color rgb="FFFF0000"/>
        <rFont val="Aptos Narrow"/>
        <family val="2"/>
        <scheme val="minor"/>
      </rPr>
      <t>IF YES, DEDUCT</t>
    </r>
    <r>
      <rPr>
        <sz val="10"/>
        <color theme="1"/>
        <rFont val="Aptos Narrow"/>
        <family val="2"/>
        <scheme val="minor"/>
      </rPr>
      <t xml:space="preserve"> NOTIONAL PUBLIC TRANSPORT SPEND</t>
    </r>
  </si>
  <si>
    <t>Drop down box, displays single selected answer</t>
  </si>
  <si>
    <t>table 6</t>
  </si>
  <si>
    <t>NOTIONAL JWF BURSARY RECIPIENT ALLOWANCE</t>
  </si>
  <si>
    <t>Notional JWF Bursary Recipient Allowance</t>
  </si>
  <si>
    <t xml:space="preserve">Additional cushion to fully enjoy a JWF School Journey as a bursary recipient </t>
  </si>
  <si>
    <t>Annual JWF Pass Deduction</t>
  </si>
  <si>
    <r>
      <rPr>
        <b/>
        <sz val="10"/>
        <color rgb="FFFF0000"/>
        <rFont val="Aptos Narrow"/>
        <family val="2"/>
        <scheme val="minor"/>
      </rPr>
      <t xml:space="preserve">DEDUCT </t>
    </r>
    <r>
      <rPr>
        <sz val="10"/>
        <color theme="1"/>
        <rFont val="Aptos Narrow"/>
        <family val="2"/>
        <scheme val="minor"/>
      </rPr>
      <t>NOTIONAL JWF BURSARY RECIPIENT ALLOWANCE</t>
    </r>
  </si>
  <si>
    <t>table 7</t>
  </si>
  <si>
    <t>AUTO TOTAL (C72 + C73)</t>
  </si>
  <si>
    <t>TOTAL NUMBER OF CHILDREN OF SCHOOL AGE</t>
  </si>
  <si>
    <t>Number of children of school age</t>
  </si>
  <si>
    <t>NUMBER OF SCHOOL YEARS LEFT FOR THE BURSARY RECIPIENT</t>
  </si>
  <si>
    <t>AUTO CALCULATION</t>
  </si>
  <si>
    <t>ADD TOTAL IN C74, DIVIDE IT BY C75 AND DIVIDE IT AGAIN BY C76</t>
  </si>
  <si>
    <r>
      <rPr>
        <b/>
        <sz val="10"/>
        <color rgb="FF7030A0"/>
        <rFont val="Aptos Narrow"/>
        <family val="2"/>
        <scheme val="minor"/>
      </rPr>
      <t>DISPLAY ONLY</t>
    </r>
    <r>
      <rPr>
        <sz val="10"/>
        <color theme="1"/>
        <rFont val="Aptos Narrow"/>
        <family val="2"/>
        <scheme val="minor"/>
      </rPr>
      <t xml:space="preserve"> - ENTER TOTAL CASH HELD</t>
    </r>
  </si>
  <si>
    <r>
      <rPr>
        <b/>
        <sz val="10"/>
        <color rgb="FF7030A0"/>
        <rFont val="Aptos Narrow"/>
        <family val="2"/>
        <scheme val="minor"/>
      </rPr>
      <t>DISPLAY ONLY -</t>
    </r>
    <r>
      <rPr>
        <sz val="10"/>
        <color theme="1"/>
        <rFont val="Aptos Narrow"/>
        <family val="2"/>
        <scheme val="minor"/>
      </rPr>
      <t xml:space="preserve"> ENTER TOTAL SAVINGS</t>
    </r>
  </si>
  <si>
    <r>
      <rPr>
        <b/>
        <sz val="10"/>
        <color rgb="FF7030A0"/>
        <rFont val="Aptos Narrow"/>
        <family val="2"/>
        <scheme val="minor"/>
      </rPr>
      <t xml:space="preserve">DISPLAY ONLY </t>
    </r>
    <r>
      <rPr>
        <sz val="10"/>
        <color theme="1"/>
        <rFont val="Aptos Narrow"/>
        <family val="2"/>
        <scheme val="minor"/>
      </rPr>
      <t>- TOTAL CASH &amp; SAVINGS</t>
    </r>
  </si>
  <si>
    <r>
      <rPr>
        <b/>
        <sz val="10"/>
        <color rgb="FF7030A0"/>
        <rFont val="Aptos Narrow"/>
        <family val="2"/>
        <scheme val="minor"/>
      </rPr>
      <t>DISPLAY ONLY -</t>
    </r>
    <r>
      <rPr>
        <sz val="10"/>
        <color theme="1"/>
        <rFont val="Aptos Narrow"/>
        <family val="2"/>
        <scheme val="minor"/>
      </rPr>
      <t xml:space="preserve"> ADJUSTED SAVINGS TOTAL</t>
    </r>
  </si>
  <si>
    <t>Notional Savings Cushion Allowance</t>
  </si>
  <si>
    <r>
      <rPr>
        <b/>
        <sz val="10"/>
        <color rgb="FF7030A0"/>
        <rFont val="Aptos Narrow"/>
        <family val="2"/>
        <scheme val="minor"/>
      </rPr>
      <t>DISPLAY ONLY -</t>
    </r>
    <r>
      <rPr>
        <sz val="10"/>
        <color theme="1"/>
        <rFont val="Aptos Narrow"/>
        <family val="2"/>
        <scheme val="minor"/>
      </rPr>
      <t xml:space="preserve"> SAVINGS CUSHION ALLOWANCE</t>
    </r>
  </si>
  <si>
    <t>Corresponding Savings Cushion Allowance (rounded to the closest £500)</t>
  </si>
  <si>
    <t>NOTIONAL SAVINGS ADJUSTMENT</t>
  </si>
  <si>
    <r>
      <rPr>
        <b/>
        <sz val="10"/>
        <color rgb="FF7030A0"/>
        <rFont val="Aptos Narrow"/>
        <family val="2"/>
        <scheme val="minor"/>
      </rPr>
      <t>DISPLAY ONLY -</t>
    </r>
    <r>
      <rPr>
        <sz val="10"/>
        <color theme="1"/>
        <rFont val="Aptos Narrow"/>
        <family val="2"/>
        <scheme val="minor"/>
      </rPr>
      <t xml:space="preserve"> SAVINGS TEST NUMBER</t>
    </r>
  </si>
  <si>
    <r>
      <t xml:space="preserve">IF SAVINGS TEST NUMBER IN C79 IS POSITIVE, </t>
    </r>
    <r>
      <rPr>
        <b/>
        <sz val="10"/>
        <color rgb="FF00B050"/>
        <rFont val="Aptos Narrow"/>
        <family val="2"/>
        <scheme val="minor"/>
      </rPr>
      <t>ADD IT</t>
    </r>
    <r>
      <rPr>
        <sz val="10"/>
        <color theme="1"/>
        <rFont val="Aptos Narrow"/>
        <family val="2"/>
        <scheme val="minor"/>
      </rPr>
      <t xml:space="preserve">  IN C80</t>
    </r>
  </si>
  <si>
    <t>NOTIONAL SCHOOL FEES INSURANCE</t>
  </si>
  <si>
    <r>
      <t xml:space="preserve">IF THE APPLICANT HAS INSURED SCHOOL FEES PAYMENT, </t>
    </r>
    <r>
      <rPr>
        <b/>
        <sz val="10"/>
        <color rgb="FF00B050"/>
        <rFont val="Aptos Narrow"/>
        <family val="2"/>
        <scheme val="minor"/>
      </rPr>
      <t xml:space="preserve">ADD </t>
    </r>
    <r>
      <rPr>
        <sz val="10"/>
        <color theme="1"/>
        <rFont val="Aptos Narrow"/>
        <family val="2"/>
        <scheme val="minor"/>
      </rPr>
      <t>YEARLY  INSURED TOTAL BACK IN</t>
    </r>
  </si>
  <si>
    <t>TOTAL DEDUCTED NOTIONAL SPEND</t>
  </si>
  <si>
    <t>School</t>
  </si>
  <si>
    <r>
      <rPr>
        <b/>
        <sz val="10"/>
        <color rgb="FF7030A0"/>
        <rFont val="Aptos Narrow"/>
        <family val="2"/>
        <scheme val="minor"/>
      </rPr>
      <t>DISPLAY ONLY</t>
    </r>
    <r>
      <rPr>
        <sz val="10"/>
        <color theme="1"/>
        <rFont val="Aptos Narrow"/>
        <family val="2"/>
        <scheme val="minor"/>
      </rPr>
      <t xml:space="preserve"> - ENTER TOTAL CREDIT CARD DEBT</t>
    </r>
  </si>
  <si>
    <r>
      <rPr>
        <b/>
        <sz val="10"/>
        <color rgb="FF7030A0"/>
        <rFont val="Aptos Narrow"/>
        <family val="2"/>
        <scheme val="minor"/>
      </rPr>
      <t>DISPLAY ONLY</t>
    </r>
    <r>
      <rPr>
        <sz val="10"/>
        <color theme="1"/>
        <rFont val="Aptos Narrow"/>
        <family val="2"/>
        <scheme val="minor"/>
      </rPr>
      <t xml:space="preserve"> - ENTER TOTAL LOAN BALANCES</t>
    </r>
  </si>
  <si>
    <r>
      <rPr>
        <b/>
        <sz val="10"/>
        <color rgb="FF7030A0"/>
        <rFont val="Aptos Narrow"/>
        <family val="2"/>
        <scheme val="minor"/>
      </rPr>
      <t>DISPLAY ONLY</t>
    </r>
    <r>
      <rPr>
        <sz val="10"/>
        <color theme="1"/>
        <rFont val="Aptos Narrow"/>
        <family val="2"/>
        <scheme val="minor"/>
      </rPr>
      <t xml:space="preserve"> - ENTER TOTAL OWED LEASE  BALANCES</t>
    </r>
  </si>
  <si>
    <r>
      <rPr>
        <b/>
        <sz val="10"/>
        <color rgb="FF7030A0"/>
        <rFont val="Aptos Narrow"/>
        <family val="2"/>
        <scheme val="minor"/>
      </rPr>
      <t>DISPLAY ONLY</t>
    </r>
    <r>
      <rPr>
        <sz val="10"/>
        <color theme="1"/>
        <rFont val="Aptos Narrow"/>
        <family val="2"/>
        <scheme val="minor"/>
      </rPr>
      <t xml:space="preserve"> - DERIVED YEARLY DEBT REPAYMENTS</t>
    </r>
  </si>
  <si>
    <t>HOUSEHOLD'S INCOME CATEGORY</t>
  </si>
  <si>
    <t>INCOME CATEGORIES</t>
  </si>
  <si>
    <t>Household's Yearly Net Income Level Distribution</t>
  </si>
  <si>
    <t xml:space="preserve">will check the number in C40 against the column G of the 'Profiling Categories' table 1 and will return value in column F from that table </t>
  </si>
  <si>
    <t>will check 'Linked Notionals' table 1 row 2 and return number from that table row 3</t>
  </si>
  <si>
    <t>will check 'Linked Notionals' table 2 and return number from that table row 7</t>
  </si>
  <si>
    <t>will check 'Linked Notionals' table 3 and return number from that table row 10</t>
  </si>
  <si>
    <t>will check 'Linked Notionals' table 4 and return number from that table row 19</t>
  </si>
  <si>
    <t>will check 'Linked Notionals' table 5 and return number from that table row 22</t>
  </si>
  <si>
    <t>will check 'Linked Notionals' table 5 and return number from that table row 23</t>
  </si>
  <si>
    <t>will check 'Linked Notionals' table 6 and return number from that table row 27</t>
  </si>
  <si>
    <t>will check 'Linked Notionals' table 7 and return number from that table row 39</t>
  </si>
  <si>
    <t>will check 'Linked Notionals' table 7 and return number from that table row 41</t>
  </si>
  <si>
    <t>HOUSEHOLD'S INCOME CATEGORY IS:</t>
  </si>
  <si>
    <t>HOUSEHOLD'S PROPERTY CATEGORY IS:</t>
  </si>
  <si>
    <t>PROPERTY CATEGORIES</t>
  </si>
  <si>
    <t>Value</t>
  </si>
  <si>
    <t>less than £360K</t>
  </si>
  <si>
    <t>valued between £360K and £500K</t>
  </si>
  <si>
    <t>Single Property, Double Property or Multiple Property Portfolio</t>
  </si>
  <si>
    <t>between £500K and £800K</t>
  </si>
  <si>
    <t>between £800K and £1.2m</t>
  </si>
  <si>
    <t>Over £1.2m</t>
  </si>
  <si>
    <t>between £1.2m and £1.6m</t>
  </si>
  <si>
    <t>Over £1.6m</t>
  </si>
  <si>
    <t>Double Property Portfolio</t>
  </si>
  <si>
    <t>Multiple Property Portfolio</t>
  </si>
  <si>
    <t>SELECT PROPERTY ASSET STRUCTURE</t>
  </si>
  <si>
    <t>NO PROPERTY, RENTING</t>
  </si>
  <si>
    <t>TWO PROPERTY PORTFOLIO</t>
  </si>
  <si>
    <t>MULTIPLE PROPERTY PORTFOLIO</t>
  </si>
  <si>
    <r>
      <rPr>
        <b/>
        <sz val="10"/>
        <color rgb="FF7030A0"/>
        <rFont val="Aptos Narrow"/>
        <family val="2"/>
        <scheme val="minor"/>
      </rPr>
      <t>DISPLAY ONLY -</t>
    </r>
    <r>
      <rPr>
        <sz val="10"/>
        <color theme="1"/>
        <rFont val="Aptos Narrow"/>
        <family val="2"/>
        <scheme val="minor"/>
      </rPr>
      <t xml:space="preserve"> TOTAL FAMILY HOME MARKET VALUE</t>
    </r>
  </si>
  <si>
    <r>
      <rPr>
        <b/>
        <sz val="10"/>
        <color rgb="FF7030A0"/>
        <rFont val="Aptos Narrow"/>
        <family val="2"/>
        <scheme val="minor"/>
      </rPr>
      <t>DISPLAY ONLY -</t>
    </r>
    <r>
      <rPr>
        <sz val="10"/>
        <color theme="1"/>
        <rFont val="Aptos Narrow"/>
        <family val="2"/>
        <scheme val="minor"/>
      </rPr>
      <t xml:space="preserve"> TOTAL FAMILY HOME MORTGAGE BALANCE</t>
    </r>
  </si>
  <si>
    <r>
      <rPr>
        <b/>
        <sz val="10"/>
        <color rgb="FF7030A0"/>
        <rFont val="Aptos Narrow"/>
        <family val="2"/>
        <scheme val="minor"/>
      </rPr>
      <t>DISPLAY ONLY -</t>
    </r>
    <r>
      <rPr>
        <sz val="10"/>
        <color theme="1"/>
        <rFont val="Aptos Narrow"/>
        <family val="2"/>
        <scheme val="minor"/>
      </rPr>
      <t xml:space="preserve"> TOTAL SECOND PROPERTY MARKET VALUE</t>
    </r>
  </si>
  <si>
    <r>
      <rPr>
        <b/>
        <sz val="10"/>
        <color rgb="FF7030A0"/>
        <rFont val="Aptos Narrow"/>
        <family val="2"/>
        <scheme val="minor"/>
      </rPr>
      <t>DISPLAY ONLY -</t>
    </r>
    <r>
      <rPr>
        <sz val="10"/>
        <color theme="1"/>
        <rFont val="Aptos Narrow"/>
        <family val="2"/>
        <scheme val="minor"/>
      </rPr>
      <t xml:space="preserve"> TOTAL SECOND PROPERTY MORTGAGE BALANCE</t>
    </r>
  </si>
  <si>
    <r>
      <rPr>
        <b/>
        <sz val="10"/>
        <color rgb="FF7030A0"/>
        <rFont val="Aptos Narrow"/>
        <family val="2"/>
        <scheme val="minor"/>
      </rPr>
      <t>DISPLAY ONLY -</t>
    </r>
    <r>
      <rPr>
        <sz val="10"/>
        <color theme="1"/>
        <rFont val="Aptos Narrow"/>
        <family val="2"/>
        <scheme val="minor"/>
      </rPr>
      <t xml:space="preserve"> HOUSEHOLD'S TOTAL PROPERTY VALUE</t>
    </r>
  </si>
  <si>
    <r>
      <rPr>
        <b/>
        <sz val="10"/>
        <color rgb="FF7030A0"/>
        <rFont val="Aptos Narrow"/>
        <family val="2"/>
        <scheme val="minor"/>
      </rPr>
      <t>DISPLAY ONLY -</t>
    </r>
    <r>
      <rPr>
        <sz val="10"/>
        <color theme="1"/>
        <rFont val="Aptos Narrow"/>
        <family val="2"/>
        <scheme val="minor"/>
      </rPr>
      <t xml:space="preserve"> HOUSEHOLD'S EQUITY ON FAMILY HOME</t>
    </r>
  </si>
  <si>
    <r>
      <rPr>
        <b/>
        <sz val="10"/>
        <color rgb="FF7030A0"/>
        <rFont val="Aptos Narrow"/>
        <family val="2"/>
        <scheme val="minor"/>
      </rPr>
      <t>DISPLAY ONLY -</t>
    </r>
    <r>
      <rPr>
        <sz val="10"/>
        <color theme="1"/>
        <rFont val="Aptos Narrow"/>
        <family val="2"/>
        <scheme val="minor"/>
      </rPr>
      <t xml:space="preserve"> HOUSEHOLD'S EQUITY ON OTHER PROPERTIES</t>
    </r>
  </si>
  <si>
    <t>Equity</t>
  </si>
  <si>
    <t>SINGLE PROPERTY - FAMILY HOME</t>
  </si>
  <si>
    <t>Single Property - Family Home</t>
  </si>
  <si>
    <t>if C103 =C96</t>
  </si>
  <si>
    <r>
      <rPr>
        <b/>
        <sz val="10"/>
        <color rgb="FF7030A0"/>
        <rFont val="Aptos Narrow"/>
        <family val="2"/>
        <scheme val="minor"/>
      </rPr>
      <t>DISPLAY ONLY -</t>
    </r>
    <r>
      <rPr>
        <sz val="10"/>
        <color theme="1"/>
        <rFont val="Aptos Narrow"/>
        <family val="2"/>
        <scheme val="minor"/>
      </rPr>
      <t xml:space="preserve"> HOUSEHOLD'S EQUITY ON SECOND PROPERTY</t>
    </r>
  </si>
  <si>
    <t>if C104 =C98</t>
  </si>
  <si>
    <t>Value in 'Assessment Page' C105</t>
  </si>
  <si>
    <t>if C105 =C100</t>
  </si>
  <si>
    <t>PROPERTY EQUITY CATEGORY</t>
  </si>
  <si>
    <t>Equity Value held in property assets (£)</t>
  </si>
  <si>
    <t>Property Equity Category</t>
  </si>
  <si>
    <t>0 &lt; £50,000</t>
  </si>
  <si>
    <t>£50,000 &lt;£75,000</t>
  </si>
  <si>
    <t>£75,000 &lt;£100,000</t>
  </si>
  <si>
    <t>£100,000 &lt; £150,000</t>
  </si>
  <si>
    <t>£150,000 &lt; £250,000</t>
  </si>
  <si>
    <t>£250,000 &lt; £400,000</t>
  </si>
  <si>
    <t>£400,000 &lt; £600,000</t>
  </si>
  <si>
    <t>£600,000 &lt;£900,000</t>
  </si>
  <si>
    <t>HOUSEHOLD'S PROPERTY  EQUITY CATEGORY IS:</t>
  </si>
  <si>
    <t>HOUSEHOLD'S TOTAL EQUITY HELD ON PROPERTY ASSETS</t>
  </si>
  <si>
    <t>£900,000 &lt; £1,200,000</t>
  </si>
  <si>
    <t>£1,200,000 &lt; £1,600,000</t>
  </si>
  <si>
    <t>More than £1,600,000</t>
  </si>
  <si>
    <t>£27,000 &lt; £39,999</t>
  </si>
  <si>
    <t>£40,000 &lt; £49,999</t>
  </si>
  <si>
    <t>£60,000 &lt; £69,999</t>
  </si>
  <si>
    <t>£50,000 &lt; £59,999</t>
  </si>
  <si>
    <t>£70,000 &lt; £79,999</t>
  </si>
  <si>
    <t>£80,000 &lt; £89,999</t>
  </si>
  <si>
    <t>£90,000 &lt; £99,999</t>
  </si>
  <si>
    <t>£100,000&lt; £109,999</t>
  </si>
  <si>
    <t>£110,000&lt; £119,999</t>
  </si>
  <si>
    <t>More than £120,000</t>
  </si>
  <si>
    <t>Less than £27,000</t>
  </si>
  <si>
    <t>Picking the correct section of the table depending on answer selected in property asset structure and returning value from table 2 column I in 'profiling categories'</t>
  </si>
  <si>
    <t>HOUSEHOLD'S TOTAL EQUITY HELD ON FINANCIAL ASSETS</t>
  </si>
  <si>
    <t>Using number in cell C74</t>
  </si>
  <si>
    <t>Equity Value held in financial assets (£)</t>
  </si>
  <si>
    <t>Financial Equity Category</t>
  </si>
  <si>
    <t>FINANCIAL EQUITY CATEGORY</t>
  </si>
  <si>
    <t>HOUSEHOLD'S FINANCIAL EQUITY CATEGORY IS:</t>
  </si>
  <si>
    <t>table 8</t>
  </si>
  <si>
    <t>HOUSEHOLD'S ASSETS CATEGORIES</t>
  </si>
  <si>
    <t>DEBT OVER NDI RATIO</t>
  </si>
  <si>
    <t>if Debt over NDI is higher than 10</t>
  </si>
  <si>
    <t xml:space="preserve">if Debt over NDI is between 9 and 10 </t>
  </si>
  <si>
    <t xml:space="preserve">if Debt over NDI is between 8 and 9 </t>
  </si>
  <si>
    <t xml:space="preserve">if Debt over NDI is between 7 and 8 </t>
  </si>
  <si>
    <t>Minimum Debt Repayment Duration in months</t>
  </si>
  <si>
    <t xml:space="preserve">if Debt over NDI is between 6 and 7 </t>
  </si>
  <si>
    <t xml:space="preserve">if Debt over NDI is between 5 and 6 </t>
  </si>
  <si>
    <t xml:space="preserve">if Debt over NDI is between 4 and 5 </t>
  </si>
  <si>
    <t xml:space="preserve">if Debt over NDI is between 3 and 4 </t>
  </si>
  <si>
    <t xml:space="preserve">if Debt over NDI is between 2 and 3 </t>
  </si>
  <si>
    <t xml:space="preserve">if Debt over NDI is between 1 and 2 </t>
  </si>
  <si>
    <t>if Debt over NDI is between 0.8 till 1</t>
  </si>
  <si>
    <t>if Debt over NDI is between 0.5 till 1</t>
  </si>
  <si>
    <t>if Debt over NDI is between 0.3 till 1</t>
  </si>
  <si>
    <t>if Debt over NDI is between 0.1 till 1</t>
  </si>
  <si>
    <t>if Debt over NDI is less than 0.1</t>
  </si>
  <si>
    <t>less than a month</t>
  </si>
  <si>
    <t>Distribution</t>
  </si>
  <si>
    <t>Debt Status</t>
  </si>
  <si>
    <t>DEBT OVER NET DISPOSABLE INCOME RATIO</t>
  </si>
  <si>
    <t>Minimum Debt Repayment Duration in months without school fees payments</t>
  </si>
  <si>
    <t>AUTO FILLED TEXT</t>
  </si>
  <si>
    <t>this is equal to C122 - C77</t>
  </si>
  <si>
    <t>if Debt over NDI is negative or equal to £0.00</t>
  </si>
  <si>
    <t>Not Applicable</t>
  </si>
  <si>
    <r>
      <t xml:space="preserve">MANUAL FILL </t>
    </r>
    <r>
      <rPr>
        <b/>
        <sz val="10"/>
        <color theme="1"/>
        <rFont val="Aptos Narrow"/>
        <family val="2"/>
        <scheme val="minor"/>
      </rPr>
      <t>YES/NO</t>
    </r>
  </si>
  <si>
    <t>HOUSEHOLD'S PERSONAL DEBT (NON-PROPERTY)</t>
  </si>
  <si>
    <r>
      <rPr>
        <b/>
        <sz val="10"/>
        <color rgb="FF7030A0"/>
        <rFont val="Aptos Narrow"/>
        <family val="2"/>
        <scheme val="minor"/>
      </rPr>
      <t>DISPLAY ONLY</t>
    </r>
    <r>
      <rPr>
        <sz val="10"/>
        <color theme="1"/>
        <rFont val="Aptos Narrow"/>
        <family val="2"/>
        <scheme val="minor"/>
      </rPr>
      <t xml:space="preserve"> - ENTER OWED OTHER SCHOOL FEES BALANCES OR OTHER DEBT</t>
    </r>
  </si>
  <si>
    <t>LIFESTYLE SQUEEZE RATIO</t>
  </si>
  <si>
    <r>
      <rPr>
        <b/>
        <sz val="10"/>
        <color rgb="FF7030A0"/>
        <rFont val="Aptos Narrow"/>
        <family val="2"/>
        <scheme val="minor"/>
      </rPr>
      <t>DISPLAY ONLY -</t>
    </r>
    <r>
      <rPr>
        <sz val="10"/>
        <color theme="1"/>
        <rFont val="Aptos Narrow"/>
        <family val="2"/>
        <scheme val="minor"/>
      </rPr>
      <t xml:space="preserve"> IS THE FAMILY BEHIND WITH THEIR SCHOOL FEES PAYMENTS?</t>
    </r>
  </si>
  <si>
    <t>CALCULATING NDI over NET INCOME  %</t>
  </si>
  <si>
    <t>YEARLY DEBT EXPOSURE (NETTED OFF YEARLY SAVINGS)</t>
  </si>
  <si>
    <t>LIFESTYLE SQUEEZE AFFORDABILITY RATIO</t>
  </si>
  <si>
    <t>AUTO FILLED NUMBER %</t>
  </si>
  <si>
    <t xml:space="preserve"> % of Net Income for school fees Benchmarking</t>
  </si>
  <si>
    <t xml:space="preserve">will check the number in the  'Profiling Categories' table 6, using income category in cell C89 and will return value in column H from that table </t>
  </si>
  <si>
    <t>SCHOOL FEES BENCHMARKING %</t>
  </si>
  <si>
    <t>School Fees Benchmarking over Lifestyle Ratio</t>
  </si>
  <si>
    <t>less than 100%</t>
  </si>
  <si>
    <t>AFFORDABLE, NO IMPACT</t>
  </si>
  <si>
    <t xml:space="preserve">Between 100% and 120% </t>
  </si>
  <si>
    <t xml:space="preserve">Between 120% and 140% </t>
  </si>
  <si>
    <t>SMALL LIFESTYLE SQUEEZE, LITTLE IMPACT</t>
  </si>
  <si>
    <t>NOTICEABLE LIFESTYLE SQUEEZE, SOME IMPACT</t>
  </si>
  <si>
    <t xml:space="preserve">Between 140% and 150% </t>
  </si>
  <si>
    <t>IMPORTANT LIFESTYLE SQUEEZE, WILL STRUGGLE</t>
  </si>
  <si>
    <t xml:space="preserve">Between 150% and 170% </t>
  </si>
  <si>
    <t>VERY HIGH LIFESTYLE SQUEEZE, WON'T MANAGE OVER TIME</t>
  </si>
  <si>
    <t>above 170%</t>
  </si>
  <si>
    <t>SEVERE LIFESTYLE SQUEEZE, SET TO FAIL QUICKLY</t>
  </si>
  <si>
    <t>DEBT STATUS</t>
  </si>
  <si>
    <t>LIFESTYLE SQUEEZE AFFORDABILITY STATUS</t>
  </si>
  <si>
    <t>SILBINGS' FEES ALREADY AT A JWF SCHOOL</t>
  </si>
  <si>
    <t>SELECT WHITGIFT OR TRINITY</t>
  </si>
  <si>
    <t>NET PAYABLE FEES</t>
  </si>
  <si>
    <t>SCHOOL FEES TABLE</t>
  </si>
  <si>
    <t>School year</t>
  </si>
  <si>
    <t>Annual Fees</t>
  </si>
  <si>
    <t xml:space="preserve">Whitgift </t>
  </si>
  <si>
    <t>UPDATED ANNUALLY</t>
  </si>
  <si>
    <t>CALCULATING BURSARY AWARD FOR</t>
  </si>
  <si>
    <t>AUTO FILLED TEXT  (name on application)</t>
  </si>
  <si>
    <t>BURSARY AWARD CALCULATION</t>
  </si>
  <si>
    <t>SIBLINGS' NET PAYABLE FEES</t>
  </si>
  <si>
    <t>ENTER CHILD NAME 1 - MANUAL</t>
  </si>
  <si>
    <t>ENTER CHILD NAME  2- MANUAL</t>
  </si>
  <si>
    <t>ENTER CHILD NAME  3- MANUAL</t>
  </si>
  <si>
    <t>equals to sum of C145 +C147+C149</t>
  </si>
  <si>
    <t>This value is equal to (NDI after NS ) C86 - C152 - C151</t>
  </si>
  <si>
    <t>Payable Fees Benchmarking</t>
  </si>
  <si>
    <t>ENTER OVERALL NET INCOME</t>
  </si>
  <si>
    <t>% Max of income (whichever is smallest) - from £27,001 till £29,000</t>
  </si>
  <si>
    <t>% Max of income (whichever is smallest) - from £29,001 till £32,000</t>
  </si>
  <si>
    <t>% Max of income (whichever is smallest) - from £32,001 till £35,000</t>
  </si>
  <si>
    <t>% Max of income (whichever is smallest) - from £35,001 till £38,000</t>
  </si>
  <si>
    <t>% Max of income (whichever is smallest) - from £47,001 till £50,000</t>
  </si>
  <si>
    <t>% Max of income (whichever is smallest) - from £50,001 till £53,000</t>
  </si>
  <si>
    <t>% Max of income (whichever is smallest) - from £53,001 till £55,000</t>
  </si>
  <si>
    <t>% Max of income (whichever is smallest) - from £55,001 till £57,000</t>
  </si>
  <si>
    <t>% Max of income (whichever is smallest) - from £57,001 till £60,000</t>
  </si>
  <si>
    <t>% Max of income (whichever is smallest) - from £60,001 till £63,000</t>
  </si>
  <si>
    <t>% Max of income (whichever is smallest) - from £63,001 till £65,000</t>
  </si>
  <si>
    <t>% Max of income (whichever is smallest) - from £70,001 till £73,000</t>
  </si>
  <si>
    <t>% Max of income (whichever is smallest) - from £73,001 till £75,000</t>
  </si>
  <si>
    <t>% Max of income (whichever is smallest) - from £75,001 till £78,000</t>
  </si>
  <si>
    <t>% Max of income (whichever is smallest) - from £78,001 till £80,000</t>
  </si>
  <si>
    <t>% Max of income (whichever is smallest) - from £80,001 till £83,000</t>
  </si>
  <si>
    <t>% Max of income (whichever is smallest) - from £83,001 till £85,000</t>
  </si>
  <si>
    <t>% Max of income (whichever is smallest) - from £85,001 till £88,000</t>
  </si>
  <si>
    <t>% Max of income (whichever is smallest) - from £88,001 till £90,000</t>
  </si>
  <si>
    <t>% Max of income (whichever is smallest) - from £90,001 till £93,000</t>
  </si>
  <si>
    <t>% Max of income (whichever is smallest) - from £93,001 till £95,000</t>
  </si>
  <si>
    <t>% Max of income (whichever is smallest) - from £95,001 till £98,000</t>
  </si>
  <si>
    <t>% Max of income (whichever is smallest) - from £98,001 till £100,000</t>
  </si>
  <si>
    <t>% Max of income (whichever is smallest) - from £100,001 till £103,000</t>
  </si>
  <si>
    <t>% Max of income (whichever is smallest) - from £103,001 till £105,000</t>
  </si>
  <si>
    <t>% Max of income (whichever is smallest) - from £38,001 till £40,000</t>
  </si>
  <si>
    <t>% Max of income (whichever is smallest) - from £40,001 till £43,000</t>
  </si>
  <si>
    <t>% Max of income (whichever is smallest) - from £43,001 till £45,000</t>
  </si>
  <si>
    <t>% Max of income (whichever is smallest) - from £45,001 till £47,000</t>
  </si>
  <si>
    <t>% Max of income (whichever is smallest) - from £65,001 till £67,000</t>
  </si>
  <si>
    <t>% Max of income (whichever is smallest) - from £67,001 till £70,000</t>
  </si>
  <si>
    <t>Theoretical Benchmarked Available Cash</t>
  </si>
  <si>
    <t xml:space="preserve">Value in C40 used to populate 'linked notionals'  G45; take values in correct column (family category) and return value in row 49 </t>
  </si>
  <si>
    <t>Value in C40 used to populate 'linked notionals'  G45; take values in correct column (family category) and return value on the corresponding row level called ' % Max of income (whichever is smallest)' to which G45 belongs in £</t>
  </si>
  <si>
    <t>Compare ACTUAL/THEORETICAL/ AFFORDABLE Cash positions and return the smallest value; if the value is negative, return £0.00</t>
  </si>
  <si>
    <t>RECOMMENDED YEARLY PAYABLE FEES - FUTURE YEAR</t>
  </si>
  <si>
    <t>BURSARY AWARD SUMMARY</t>
  </si>
  <si>
    <t>SCHOOL FEES NEXT YEAR</t>
  </si>
  <si>
    <t xml:space="preserve">% SCHOLARSHIP </t>
  </si>
  <si>
    <t>BURSARY AWARD VALUE (after VAT)</t>
  </si>
  <si>
    <t>SCHOLARSHIP VALUE (after VAT)</t>
  </si>
  <si>
    <t>PAYABLE SCHOOL FEES NEXT YEAR</t>
  </si>
  <si>
    <t>MANUAL FILL %</t>
  </si>
  <si>
    <t>Equal to (C163 x C164) x 1.20</t>
  </si>
  <si>
    <t>Equal to C163 - C165 - C166</t>
  </si>
  <si>
    <t>dd/mm/yyyy</t>
  </si>
  <si>
    <t>ASSESSMENT COMPLETED ON:</t>
  </si>
  <si>
    <t>Not started</t>
  </si>
  <si>
    <t>drop down box</t>
  </si>
  <si>
    <t>Started  but Paused</t>
  </si>
  <si>
    <t>Completed</t>
  </si>
  <si>
    <t>ASSESSMENT STATUS:</t>
  </si>
  <si>
    <t>2026-27</t>
  </si>
  <si>
    <t>ACADEMIC SCHOOL YEAR</t>
  </si>
  <si>
    <t>ACADEMIC YEAR</t>
  </si>
  <si>
    <t>table 9</t>
  </si>
  <si>
    <t>YEAR OF ENTRY</t>
  </si>
  <si>
    <t>Year 9</t>
  </si>
  <si>
    <t>Year 12</t>
  </si>
  <si>
    <t>ROUNDS TO CREATE</t>
  </si>
  <si>
    <t>Academic Year</t>
  </si>
  <si>
    <t>2026/27</t>
  </si>
  <si>
    <t>2027/28</t>
  </si>
  <si>
    <t>2028/29</t>
  </si>
  <si>
    <t>2029/30</t>
  </si>
  <si>
    <t>2030/31</t>
  </si>
  <si>
    <t>2031/32</t>
  </si>
  <si>
    <t>2023/24</t>
  </si>
  <si>
    <t>2024/25</t>
  </si>
  <si>
    <t>2025/26</t>
  </si>
  <si>
    <t>Payable fees</t>
  </si>
  <si>
    <t>School Year</t>
  </si>
  <si>
    <t>Year on Year Assessment Comments re Payable Fees Change*</t>
  </si>
  <si>
    <t>ASSESSMENT COMPLETED BY:</t>
  </si>
  <si>
    <t>Joe Bloggs</t>
  </si>
  <si>
    <t>1 - No year on year comparison, first assessment</t>
  </si>
  <si>
    <t>2 - No real change</t>
  </si>
  <si>
    <t>5- Divorce or separation</t>
  </si>
  <si>
    <t>3 - Additional family member since last year</t>
  </si>
  <si>
    <t>4- One of their children has left school since last year</t>
  </si>
  <si>
    <t>6 - Bereavement</t>
  </si>
  <si>
    <t>7-  Illness</t>
  </si>
  <si>
    <t>8- Sudden unemployment</t>
  </si>
  <si>
    <t>9-  Self-employed net profit increase/decrease</t>
  </si>
  <si>
    <t>10- Bonus change year on year</t>
  </si>
  <si>
    <t>11 - Increase in Benefits</t>
  </si>
  <si>
    <t>12 - Salary increase</t>
  </si>
  <si>
    <t>13- New job and decreased pay</t>
  </si>
  <si>
    <t>14- New job and increased pay</t>
  </si>
  <si>
    <t>15 - Increased savings</t>
  </si>
  <si>
    <t>16 - Inheritance</t>
  </si>
  <si>
    <t>17 - Early Pension drawing</t>
  </si>
  <si>
    <t>18 - More Profitable or New Investments</t>
  </si>
  <si>
    <t>19 - Additional income not disclosed last year</t>
  </si>
  <si>
    <t>20- Stopped work to study</t>
  </si>
  <si>
    <t>21-Became a student</t>
  </si>
  <si>
    <t>22 - Mortgage now fully paid</t>
  </si>
  <si>
    <t>23- New property asset acquired</t>
  </si>
  <si>
    <t>24 - Property asset has increased in value</t>
  </si>
  <si>
    <t>25 - Additional asset not disclosed last year</t>
  </si>
  <si>
    <t>26 - Re-mortgage agreement</t>
  </si>
  <si>
    <t>27- Change in accommodation arrangements</t>
  </si>
  <si>
    <t>28 - Failure to meet the deadline</t>
  </si>
  <si>
    <t>29 - Out of date documents used last year</t>
  </si>
  <si>
    <t>30 - Forged or tampered with documents</t>
  </si>
  <si>
    <t>31 - Failure to provide required documents</t>
  </si>
  <si>
    <t>32 - Other</t>
  </si>
  <si>
    <t>33 - Error made by previous assessor</t>
  </si>
  <si>
    <t>34 - Reduced Payable fees due to scholarship offer</t>
  </si>
  <si>
    <t>35 - Internal Bursary request originally</t>
  </si>
  <si>
    <t>36- Reduced savings</t>
  </si>
  <si>
    <t>8- Sudden unemployment; 11 - Increase in Benefits; 36- Reduced savings</t>
  </si>
  <si>
    <t>App to be submitted by</t>
  </si>
  <si>
    <t>Application Status</t>
  </si>
  <si>
    <t>Received</t>
  </si>
  <si>
    <t>Assessment  Status</t>
  </si>
  <si>
    <t>Year 8</t>
  </si>
  <si>
    <t>Year 10</t>
  </si>
  <si>
    <t>Year 11</t>
  </si>
  <si>
    <t>Year 13</t>
  </si>
  <si>
    <t>Bursary Status</t>
  </si>
  <si>
    <t>Active</t>
  </si>
  <si>
    <t>Scheduled</t>
  </si>
  <si>
    <t>Payable fees - Year on Year change</t>
  </si>
  <si>
    <t>n/a</t>
  </si>
  <si>
    <t>Assessor's wizard - Things to look out for with this family*</t>
  </si>
  <si>
    <t>Account Synopsis*</t>
  </si>
  <si>
    <t>Married couple with 3 kids. Mr is an employed architect. Mrs is a part-time teaching assistant . They rent their accommodation in the CR0 post code area. They qualify for CHB for 2 kids (their eldest is at Uni). They have a large loan weighing on their finances. Some saving capacity. Mr lost his job last year.</t>
  </si>
  <si>
    <t xml:space="preserve">Bursary recipient's Name </t>
  </si>
  <si>
    <t>Bursary recipient's School</t>
  </si>
  <si>
    <t>Bursary recipient's siblings</t>
  </si>
  <si>
    <t>Bursary recipient's siblings' school</t>
  </si>
  <si>
    <t xml:space="preserve">ASSESSMENT ADMIN </t>
  </si>
  <si>
    <t>Mrs works for two schools- check that she attaches two P60s. They have  Lloyds savings bank account that they had not attached originally ( account no ****4555)</t>
  </si>
  <si>
    <t>Assessment Year</t>
  </si>
  <si>
    <t>Total Savings</t>
  </si>
  <si>
    <t>Total Property Equity</t>
  </si>
  <si>
    <t>Yr on Yr Change In Overall Net Incme</t>
  </si>
  <si>
    <t>Yr on Yr Change In Total Savings</t>
  </si>
  <si>
    <t>Yr on Yr Change In Property Equity</t>
  </si>
  <si>
    <t>Bursary Reference</t>
  </si>
  <si>
    <t>Fees Account Code</t>
  </si>
  <si>
    <t>Total Yearly Debt Exposure</t>
  </si>
  <si>
    <t>Yr on Yr Change In Yearly Debt Exposure</t>
  </si>
  <si>
    <t>Living arrangement</t>
  </si>
  <si>
    <t>Lifestyle Squeeze Ratio</t>
  </si>
  <si>
    <t>Savings Cushion Allowance  Calculation (ability to financially provide for the family for a duration of minimum 6 months covering the notional rent and notional essentials)</t>
  </si>
  <si>
    <t>Annual Notional Rent (in line with ONS Croydon, reactualised every year)</t>
  </si>
  <si>
    <t>IF HOUSEHOLD OWNS AT LEAST TWO PROPERTIES AND EITHER 1- PROPERTY INCOME IS NOT MAIN INCOME OR 2- EVIDENCE OF STABLE (PAYE OVER S-E) MEDIUM TO HIGH OR HIGH INCOME 3- CASH DRAWDOWN NOT SOLELY TO DEBT CONSOLIDATE</t>
  </si>
  <si>
    <t>Utilities (gas/electricity/water) -  using moneyhelper.org, reactualised every year)</t>
  </si>
  <si>
    <t>Gas</t>
  </si>
  <si>
    <t>Electricity</t>
  </si>
  <si>
    <t>Water</t>
  </si>
  <si>
    <t>Utility Notionals</t>
  </si>
  <si>
    <t>Food (£5.30 per day per person) -(in line with ONS London, reactualised every year)</t>
  </si>
  <si>
    <t>Car (£4K a year: petrol/insurance/tax/basic MOT, parking) (nimblefins reactualised)</t>
  </si>
  <si>
    <t>Public transport (£600 per child (child-rate travelcard)  and £1,200 per adult)</t>
  </si>
  <si>
    <t>ACTUAL NET REMAINING DISPOSABLE INCOME</t>
  </si>
  <si>
    <t>THEORETICAL BENCHMARKING DISPOSABLE INCOME</t>
  </si>
  <si>
    <t>AFFORDABILITY  ADJUSTED  DISPOSABLE INCOME</t>
  </si>
  <si>
    <t xml:space="preserve"> GAP FROM REC PF TO CONFIRM PF:</t>
  </si>
  <si>
    <t>REASONS FOR GAP</t>
  </si>
  <si>
    <t>LAST ASSESSMENT'S PAYABLE FEES</t>
  </si>
  <si>
    <t>REASONS FOR YEAR ON YEAR CHANGE:</t>
  </si>
  <si>
    <t>MULTIPLE CHOICE BOX</t>
  </si>
  <si>
    <t>REASONS FOR GAP - MULTI SELECTION</t>
  </si>
  <si>
    <t>* REASONS FOR YEAR ON YEAR CHANGE - MULTI SELECTION</t>
  </si>
  <si>
    <t>3- Pastoral Exceptional Leniency - Social Services</t>
  </si>
  <si>
    <t>4- Pastoral Exceptional Leniency - Fostering</t>
  </si>
  <si>
    <t xml:space="preserve"> 6- Internal Bursary Bias - Bereavement</t>
  </si>
  <si>
    <t xml:space="preserve"> 7- Internal Bursary Bias - Severe Illness</t>
  </si>
  <si>
    <t>5- Pastoral Exceptional Leniency - Homed Boarder</t>
  </si>
  <si>
    <t>1- Out of sync due to scholarship applied on place offer</t>
  </si>
  <si>
    <t>2- Original Old Assessment Benchmark (2020)</t>
  </si>
  <si>
    <t>5- Out of sync due to new scholarship offered mid cursus</t>
  </si>
  <si>
    <t>8- Affordability Adjusted Calculation Preferred</t>
  </si>
  <si>
    <t>9- Theoretical Benchmark Calculation Preferred</t>
  </si>
  <si>
    <t>UTILITY COSTS TABLE (Croydon/South London)</t>
  </si>
  <si>
    <r>
      <t xml:space="preserve">LB Croydon </t>
    </r>
    <r>
      <rPr>
        <b/>
        <sz val="11"/>
        <color rgb="FFFF0000"/>
        <rFont val="Aptos Narrow"/>
        <family val="2"/>
        <scheme val="minor"/>
      </rPr>
      <t>Band D</t>
    </r>
    <r>
      <rPr>
        <b/>
        <sz val="11"/>
        <color theme="1"/>
        <rFont val="Aptos Narrow"/>
        <family val="2"/>
        <scheme val="minor"/>
      </rPr>
      <t xml:space="preserve"> Council Tax -most common band, reactualised every year</t>
    </r>
  </si>
  <si>
    <t>school lunches participation (costs approx £825 per year: £5.50 per meal, 10 weeks/term))</t>
  </si>
  <si>
    <t>annual school trips allowance (£200 per term)</t>
  </si>
  <si>
    <t>parent(s) with 2 children</t>
  </si>
  <si>
    <t>parent(s) with 3 children</t>
  </si>
  <si>
    <t>parent(s) with 4 children</t>
  </si>
  <si>
    <t>parent(s) with 5 children</t>
  </si>
  <si>
    <t>school uniform participation (circa £300 a year; second-hand half price)</t>
  </si>
  <si>
    <t>Household Items/ Toiletries/ Clothing/Shoes (£15/week/adult and £5/week/child)</t>
  </si>
  <si>
    <t>Eating Out (£10/week/adult and £5/week/child)- twice a month</t>
  </si>
  <si>
    <r>
      <rPr>
        <b/>
        <sz val="10"/>
        <color rgb="FFFF0000"/>
        <rFont val="Aptos Narrow"/>
        <family val="2"/>
        <scheme val="minor"/>
      </rPr>
      <t xml:space="preserve">DEDUCT </t>
    </r>
    <r>
      <rPr>
        <sz val="10"/>
        <color theme="1"/>
        <rFont val="Aptos Narrow"/>
        <family val="2"/>
        <scheme val="minor"/>
      </rPr>
      <t>NOTIONAL SAVINGS</t>
    </r>
  </si>
  <si>
    <t>will check 'Linked Notionals' table 7 and return number from that table row 38</t>
  </si>
  <si>
    <t>NOTIONAL SAVINGS benchmarking (£1.5K per family member)</t>
  </si>
  <si>
    <t>Savings Test Number is equal to : (C77- C123+C78) as value in C78 will always be negative</t>
  </si>
  <si>
    <t>to calculate Total Deducted Notional Spend, add C56, C57, C58, C59,C60, C62, C66, C68, C70, C78, C81 and C83)</t>
  </si>
  <si>
    <t>to calculate Household's NDI, add C40 and C85* (* C85 should be negative unless the household has a very amount in savings)</t>
  </si>
  <si>
    <t>Add C97 + C99 + C101</t>
  </si>
  <si>
    <t>Add C97-C98</t>
  </si>
  <si>
    <t>Add C101-C102</t>
  </si>
  <si>
    <t>Value in 'Assessment Page' C97</t>
  </si>
  <si>
    <t>Value in 'Assessment Page' C104)</t>
  </si>
  <si>
    <t>with mortgage (if C104 different to C97)</t>
  </si>
  <si>
    <t>Value in 'Assessment Page' C99- if different to £0 and:</t>
  </si>
  <si>
    <t>with mortgage (if C105 different to C99)</t>
  </si>
  <si>
    <r>
      <rPr>
        <b/>
        <sz val="10"/>
        <color rgb="FF7030A0"/>
        <rFont val="Aptos Narrow"/>
        <family val="2"/>
        <scheme val="minor"/>
      </rPr>
      <t>DISPLAY ONLY -</t>
    </r>
    <r>
      <rPr>
        <sz val="10"/>
        <color theme="1"/>
        <rFont val="Aptos Narrow"/>
        <family val="2"/>
        <scheme val="minor"/>
      </rPr>
      <t xml:space="preserve"> TOTAL OTHER PROPERTY (IES) MARKET VALUE</t>
    </r>
  </si>
  <si>
    <r>
      <rPr>
        <b/>
        <sz val="10"/>
        <color rgb="FF7030A0"/>
        <rFont val="Aptos Narrow"/>
        <family val="2"/>
        <scheme val="minor"/>
      </rPr>
      <t>DISPLAY ONLY -</t>
    </r>
    <r>
      <rPr>
        <sz val="10"/>
        <color theme="1"/>
        <rFont val="Aptos Narrow"/>
        <family val="2"/>
        <scheme val="minor"/>
      </rPr>
      <t xml:space="preserve"> TOTAL OTHER PROPERTY (IES) MORTGAGE BALANCE</t>
    </r>
  </si>
  <si>
    <t>Value in 'Assessment Page' C101 - if different to £0 and:</t>
  </si>
  <si>
    <t>Value in 'Assessment Page' C106</t>
  </si>
  <si>
    <t>with mortgage (if C106 different to C101)</t>
  </si>
  <si>
    <t>Add C99-C100</t>
  </si>
  <si>
    <t>Add C104 +C105 + C106</t>
  </si>
  <si>
    <t xml:space="preserve">will check the number in C110 in the  'Profiling Categories' table  3 and will return value in column G from that table </t>
  </si>
  <si>
    <t xml:space="preserve">will check the number equal to (C114-C118-C119-C120-C121)   'Profiling Categories' table  4 and will return value in column G from that table </t>
  </si>
  <si>
    <t>less than £0</t>
  </si>
  <si>
    <t>in debt</t>
  </si>
  <si>
    <t>no debt, no equity</t>
  </si>
  <si>
    <t>some savings</t>
  </si>
  <si>
    <t>fair savings</t>
  </si>
  <si>
    <t>decent savings</t>
  </si>
  <si>
    <t>large savings</t>
  </si>
  <si>
    <t>high savings</t>
  </si>
  <si>
    <t>very high savings</t>
  </si>
  <si>
    <t>extremely high savings</t>
  </si>
  <si>
    <t>stratospheric savings - level 1</t>
  </si>
  <si>
    <t>stratospheric savings - level 2</t>
  </si>
  <si>
    <t>stratospheric savings - level 3</t>
  </si>
  <si>
    <t>stratospheric savings - level 4</t>
  </si>
  <si>
    <t>VERY HEAVILY IN DEBT, VERY HIGH CREDIT RISK - level 4</t>
  </si>
  <si>
    <t>VERY HEAVILY IN DEBT, VERY HIGH CREDIT RISK - level 3</t>
  </si>
  <si>
    <t>VERY HEAVILY IN DEBT, VERY HIGH CREDIT RISK - level 2</t>
  </si>
  <si>
    <t>VERY HEAVILY IN DEBT, VERY HIGH CREDIT RISK - level 1</t>
  </si>
  <si>
    <t>HEAVILY IN DEBT, HIGH CREDIT RISK - level 3</t>
  </si>
  <si>
    <t>HEAVILY IN DEBT, HIGH CREDIT RISK - level 2</t>
  </si>
  <si>
    <t>HEAVILY IN DEBT, HIGH CREDIT RISK - level 1</t>
  </si>
  <si>
    <t>MATERIAL DEBT IMPACT, FAIR CREDIT RISK - level 2</t>
  </si>
  <si>
    <t>MATERIAL DEBT IMPACT, FAIR CREDIT RISK - level 1</t>
  </si>
  <si>
    <t>MANAGEABLE DEBT, MEDIUM CREDIT RISK - level 2</t>
  </si>
  <si>
    <t>MANAGEABLE DEBT, MEDIUM CREDIT RISK - level 1</t>
  </si>
  <si>
    <t>MANAGEABLE DEBT, LOW CREDIT RISK - level 2</t>
  </si>
  <si>
    <t>MANAGEABLE DEBT, LOW CREDIT RISK - level 1</t>
  </si>
  <si>
    <t>SMALL DEBT LEVEL, NEGLIGIBLE CREDIT RISK - level 2</t>
  </si>
  <si>
    <t>SMALL DEBT LEVEL, NEGLIGIBLE CREDIT RISK - level 1</t>
  </si>
  <si>
    <t>ZERO DEBT, NO CREDIT RISK</t>
  </si>
  <si>
    <t>this is the sum of C118, C119, C120 and C121, divided by the number in C122</t>
  </si>
  <si>
    <t>this is the number in ((C124-C74/C76)) divided by C40</t>
  </si>
  <si>
    <t xml:space="preserve">will check the number in C125 in the  'Profiling Categories' table 5 and will return value in column G from that table </t>
  </si>
  <si>
    <t xml:space="preserve">will check the number in C125 in the  'Profiling Categories' table 5 and will return value in column H from that table </t>
  </si>
  <si>
    <t>divide C87 by C40</t>
  </si>
  <si>
    <t>divide (C87 -C124) by C40</t>
  </si>
  <si>
    <t>CALCULATING (NDI  after YEARLY DEBT EXPOSURE)  over NET INCOME) LIFESTYLE RATIO  %</t>
  </si>
  <si>
    <t>SCHOOL FEES USE BENCHMARKING</t>
  </si>
  <si>
    <t>divide C133/(C87-C124)</t>
  </si>
  <si>
    <t xml:space="preserve">will check the number in C134 in the  'Profiling Categories' table 7 and will return value in column G from that table </t>
  </si>
  <si>
    <t>Use school's name picked in cell B140, look for it in 'profiling categories' table 8, and return corresponding School Year Future value</t>
  </si>
  <si>
    <t>School Year - Current Value</t>
  </si>
  <si>
    <t>School Year - Future Value</t>
  </si>
  <si>
    <t>School's bursary spend for this pupil (before VAT)</t>
  </si>
  <si>
    <t>Divide C166 by 1.20</t>
  </si>
  <si>
    <t>Equal to C166 - C160</t>
  </si>
  <si>
    <t>IF THE FAMILY HOME IS MORTGAGE FREE/ or LIVING RENT FREE, ADD FULL NOTIONAL BACK IN - or if FAMILY HAS A LOWER RENT, ADD  25% BACK IN OF THE NOTIONAL RENT</t>
  </si>
  <si>
    <t xml:space="preserve">ADD BACK NOTIONAL RENT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</si>
</sst>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£&quot;#,##0;[Red]\-&quot;£&quot;#,##0"/>
    <numFmt numFmtId="8" formatCode="&quot;£&quot;#,##0.00;[Red]\-&quot;£&quot;#,##0.00"/>
    <numFmt numFmtId="164" formatCode="&quot;£&quot;#,##0"/>
    <numFmt numFmtId="165" formatCode="0.0%"/>
    <numFmt numFmtId="166" formatCode="&quot;£&quot;#,##0.0"/>
    <numFmt numFmtId="167" formatCode="0.00_ ;[Red]\-0.00\ "/>
  </numFmts>
  <fonts count="17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0"/>
      <color rgb="FF00B05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rgb="FF0070C0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b/>
      <sz val="10"/>
      <color rgb="FF7030A0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b/>
      <u/>
      <sz val="11"/>
      <color theme="1"/>
      <name val="Calibri"/>
      <family val="2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2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8" fontId="1" fillId="0" borderId="0" xfId="0" applyNumberFormat="1" applyFont="1"/>
    <xf numFmtId="8" fontId="1" fillId="0" borderId="1" xfId="0" applyNumberFormat="1" applyFont="1" applyBorder="1" applyAlignment="1">
      <alignment horizontal="center"/>
    </xf>
    <xf numFmtId="8" fontId="1" fillId="0" borderId="1" xfId="0" applyNumberFormat="1" applyFont="1" applyBorder="1"/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3" borderId="2" xfId="0" applyFont="1" applyFill="1" applyBorder="1" applyAlignment="1">
      <alignment horizontal="center"/>
    </xf>
    <xf numFmtId="8" fontId="2" fillId="3" borderId="3" xfId="0" applyNumberFormat="1" applyFont="1" applyFill="1" applyBorder="1" applyAlignment="1">
      <alignment horizontal="center"/>
    </xf>
    <xf numFmtId="0" fontId="2" fillId="2" borderId="0" xfId="0" applyFont="1" applyFill="1"/>
    <xf numFmtId="8" fontId="2" fillId="2" borderId="0" xfId="0" applyNumberFormat="1" applyFont="1" applyFill="1"/>
    <xf numFmtId="0" fontId="2" fillId="0" borderId="0" xfId="0" applyFont="1" applyAlignment="1">
      <alignment horizontal="center"/>
    </xf>
    <xf numFmtId="8" fontId="2" fillId="0" borderId="0" xfId="0" applyNumberFormat="1" applyFont="1"/>
    <xf numFmtId="0" fontId="2" fillId="0" borderId="1" xfId="0" applyFont="1" applyBorder="1" applyAlignment="1">
      <alignment horizontal="center"/>
    </xf>
    <xf numFmtId="8" fontId="2" fillId="3" borderId="4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8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8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6" fillId="0" borderId="0" xfId="1"/>
    <xf numFmtId="0" fontId="0" fillId="4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left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/>
    <xf numFmtId="0" fontId="2" fillId="2" borderId="1" xfId="0" applyFont="1" applyFill="1" applyBorder="1" applyAlignment="1">
      <alignment horizontal="center" wrapText="1"/>
    </xf>
    <xf numFmtId="0" fontId="9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9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/>
    <xf numFmtId="0" fontId="0" fillId="0" borderId="0" xfId="0" applyAlignment="1">
      <alignment horizontal="left" wrapText="1"/>
    </xf>
    <xf numFmtId="0" fontId="10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9" fillId="0" borderId="0" xfId="0" applyFont="1" applyAlignment="1">
      <alignment horizontal="left"/>
    </xf>
    <xf numFmtId="0" fontId="7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/>
    </xf>
    <xf numFmtId="8" fontId="2" fillId="6" borderId="5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8" fontId="2" fillId="6" borderId="1" xfId="0" applyNumberFormat="1" applyFont="1" applyFill="1" applyBorder="1" applyAlignment="1">
      <alignment horizontal="center"/>
    </xf>
    <xf numFmtId="8" fontId="1" fillId="5" borderId="1" xfId="0" applyNumberFormat="1" applyFont="1" applyFill="1" applyBorder="1" applyAlignment="1">
      <alignment horizontal="center"/>
    </xf>
    <xf numFmtId="8" fontId="2" fillId="0" borderId="0" xfId="0" applyNumberFormat="1" applyFont="1" applyAlignment="1">
      <alignment horizontal="center"/>
    </xf>
    <xf numFmtId="0" fontId="7" fillId="7" borderId="1" xfId="0" applyFont="1" applyFill="1" applyBorder="1" applyAlignment="1">
      <alignment horizontal="center"/>
    </xf>
    <xf numFmtId="8" fontId="0" fillId="7" borderId="1" xfId="0" applyNumberFormat="1" applyFill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7" fillId="7" borderId="1" xfId="0" applyNumberFormat="1" applyFont="1" applyFill="1" applyBorder="1" applyAlignment="1">
      <alignment horizontal="center"/>
    </xf>
    <xf numFmtId="0" fontId="0" fillId="0" borderId="1" xfId="0" applyBorder="1"/>
    <xf numFmtId="164" fontId="7" fillId="0" borderId="0" xfId="0" applyNumberFormat="1" applyFont="1" applyAlignment="1">
      <alignment horizontal="center"/>
    </xf>
    <xf numFmtId="0" fontId="7" fillId="2" borderId="1" xfId="0" applyFont="1" applyFill="1" applyBorder="1" applyAlignment="1">
      <alignment horizontal="center" wrapText="1"/>
    </xf>
    <xf numFmtId="0" fontId="7" fillId="7" borderId="1" xfId="0" applyFont="1" applyFill="1" applyBorder="1" applyAlignment="1">
      <alignment horizontal="center" wrapText="1"/>
    </xf>
    <xf numFmtId="8" fontId="7" fillId="8" borderId="1" xfId="0" applyNumberFormat="1" applyFont="1" applyFill="1" applyBorder="1" applyAlignment="1">
      <alignment horizontal="center"/>
    </xf>
    <xf numFmtId="8" fontId="2" fillId="0" borderId="1" xfId="0" applyNumberFormat="1" applyFont="1" applyBorder="1" applyAlignment="1">
      <alignment horizontal="center"/>
    </xf>
    <xf numFmtId="6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8" fontId="9" fillId="0" borderId="0" xfId="0" applyNumberFormat="1" applyFont="1"/>
    <xf numFmtId="0" fontId="7" fillId="0" borderId="1" xfId="0" applyFont="1" applyBorder="1"/>
    <xf numFmtId="0" fontId="7" fillId="2" borderId="1" xfId="0" applyFont="1" applyFill="1" applyBorder="1" applyAlignment="1">
      <alignment horizontal="center"/>
    </xf>
    <xf numFmtId="8" fontId="2" fillId="6" borderId="6" xfId="0" applyNumberFormat="1" applyFont="1" applyFill="1" applyBorder="1" applyAlignment="1">
      <alignment horizontal="center"/>
    </xf>
    <xf numFmtId="8" fontId="2" fillId="9" borderId="1" xfId="0" applyNumberFormat="1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6" fontId="0" fillId="3" borderId="1" xfId="0" applyNumberForma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8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164" fontId="7" fillId="3" borderId="15" xfId="0" applyNumberFormat="1" applyFont="1" applyFill="1" applyBorder="1" applyAlignment="1">
      <alignment horizontal="center"/>
    </xf>
    <xf numFmtId="8" fontId="1" fillId="0" borderId="1" xfId="0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8" fontId="2" fillId="2" borderId="1" xfId="0" applyNumberFormat="1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8" fontId="2" fillId="5" borderId="1" xfId="0" applyNumberFormat="1" applyFont="1" applyFill="1" applyBorder="1" applyAlignment="1">
      <alignment horizontal="center"/>
    </xf>
    <xf numFmtId="0" fontId="1" fillId="7" borderId="16" xfId="0" applyFont="1" applyFill="1" applyBorder="1"/>
    <xf numFmtId="0" fontId="1" fillId="7" borderId="17" xfId="0" applyFont="1" applyFill="1" applyBorder="1" applyAlignment="1">
      <alignment horizontal="center"/>
    </xf>
    <xf numFmtId="8" fontId="2" fillId="7" borderId="17" xfId="0" applyNumberFormat="1" applyFont="1" applyFill="1" applyBorder="1" applyAlignment="1">
      <alignment horizontal="center"/>
    </xf>
    <xf numFmtId="0" fontId="1" fillId="7" borderId="18" xfId="0" applyFont="1" applyFill="1" applyBorder="1"/>
    <xf numFmtId="0" fontId="2" fillId="7" borderId="19" xfId="0" applyFont="1" applyFill="1" applyBorder="1" applyAlignment="1">
      <alignment horizontal="center"/>
    </xf>
    <xf numFmtId="0" fontId="1" fillId="7" borderId="20" xfId="0" applyFont="1" applyFill="1" applyBorder="1"/>
    <xf numFmtId="0" fontId="1" fillId="7" borderId="19" xfId="0" applyFont="1" applyFill="1" applyBorder="1"/>
    <xf numFmtId="0" fontId="1" fillId="7" borderId="10" xfId="0" applyFont="1" applyFill="1" applyBorder="1"/>
    <xf numFmtId="0" fontId="1" fillId="7" borderId="8" xfId="0" applyFont="1" applyFill="1" applyBorder="1" applyAlignment="1">
      <alignment horizontal="center"/>
    </xf>
    <xf numFmtId="8" fontId="1" fillId="7" borderId="8" xfId="0" applyNumberFormat="1" applyFont="1" applyFill="1" applyBorder="1" applyAlignment="1">
      <alignment horizontal="center"/>
    </xf>
    <xf numFmtId="0" fontId="1" fillId="7" borderId="11" xfId="0" applyFont="1" applyFill="1" applyBorder="1"/>
    <xf numFmtId="8" fontId="2" fillId="2" borderId="1" xfId="0" applyNumberFormat="1" applyFont="1" applyFill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6" fontId="1" fillId="0" borderId="1" xfId="0" applyNumberFormat="1" applyFont="1" applyBorder="1"/>
    <xf numFmtId="6" fontId="1" fillId="0" borderId="1" xfId="0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6" fontId="1" fillId="0" borderId="1" xfId="0" applyNumberFormat="1" applyFont="1" applyBorder="1" applyAlignment="1">
      <alignment horizontal="center" wrapText="1"/>
    </xf>
    <xf numFmtId="0" fontId="13" fillId="5" borderId="1" xfId="0" applyFont="1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0" fontId="15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/>
    </xf>
    <xf numFmtId="167" fontId="15" fillId="0" borderId="0" xfId="0" applyNumberFormat="1" applyFont="1" applyAlignment="1">
      <alignment horizontal="center"/>
    </xf>
    <xf numFmtId="166" fontId="15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6" fontId="7" fillId="0" borderId="1" xfId="0" applyNumberFormat="1" applyFont="1" applyBorder="1" applyAlignment="1">
      <alignment horizontal="center"/>
    </xf>
    <xf numFmtId="8" fontId="7" fillId="7" borderId="1" xfId="0" applyNumberFormat="1" applyFont="1" applyFill="1" applyBorder="1" applyAlignment="1">
      <alignment horizontal="center"/>
    </xf>
    <xf numFmtId="8" fontId="2" fillId="3" borderId="1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8" fontId="1" fillId="3" borderId="1" xfId="0" applyNumberFormat="1" applyFont="1" applyFill="1" applyBorder="1" applyAlignment="1">
      <alignment horizontal="center"/>
    </xf>
    <xf numFmtId="0" fontId="1" fillId="0" borderId="21" xfId="0" applyFont="1" applyBorder="1"/>
    <xf numFmtId="0" fontId="1" fillId="0" borderId="9" xfId="0" applyFont="1" applyBorder="1" applyAlignment="1">
      <alignment horizontal="left"/>
    </xf>
    <xf numFmtId="0" fontId="1" fillId="0" borderId="12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6" borderId="6" xfId="0" applyFont="1" applyFill="1" applyBorder="1"/>
    <xf numFmtId="8" fontId="1" fillId="6" borderId="1" xfId="0" applyNumberFormat="1" applyFont="1" applyFill="1" applyBorder="1"/>
    <xf numFmtId="0" fontId="2" fillId="6" borderId="9" xfId="0" applyFont="1" applyFill="1" applyBorder="1" applyAlignment="1">
      <alignment horizontal="left"/>
    </xf>
    <xf numFmtId="0" fontId="1" fillId="6" borderId="21" xfId="0" applyFont="1" applyFill="1" applyBorder="1"/>
    <xf numFmtId="0" fontId="1" fillId="6" borderId="12" xfId="0" applyFont="1" applyFill="1" applyBorder="1"/>
    <xf numFmtId="0" fontId="2" fillId="2" borderId="13" xfId="0" applyFont="1" applyFill="1" applyBorder="1" applyAlignment="1">
      <alignment horizontal="center" vertical="center"/>
    </xf>
    <xf numFmtId="0" fontId="0" fillId="0" borderId="7" xfId="0" applyBorder="1"/>
    <xf numFmtId="0" fontId="0" fillId="0" borderId="14" xfId="0" applyBorder="1"/>
    <xf numFmtId="0" fontId="2" fillId="2" borderId="1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13" fillId="5" borderId="9" xfId="0" applyFont="1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7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FFFF"/>
      <color rgb="FF66FF99"/>
      <color rgb="FFFF9933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2162175</xdr:colOff>
      <xdr:row>153</xdr:row>
      <xdr:rowOff>66676</xdr:rowOff>
    </xdr:from>
    <xdr:to>
      <xdr:col>0</xdr:col>
      <xdr:colOff>2552700</xdr:colOff>
      <xdr:row>159</xdr:row>
      <xdr:rowOff>152401</xdr:rowOff>
    </xdr:to>
    <xdr:sp macro="" textlink="">
      <xdr:nvSpPr>
        <xdr:cNvPr id="2" name="Arrow: Curved Right 1">
          <a:extLst>
            <a:ext uri="{FF2B5EF4-FFF2-40B4-BE49-F238E27FC236}">
              <a16:creationId xmlns:a16="http://schemas.microsoft.com/office/drawing/2014/main" id="{1876DB24-00CE-F59E-76A2-29FEDF7B040A}"/>
            </a:ext>
          </a:extLst>
        </xdr:cNvPr>
        <xdr:cNvSpPr/>
      </xdr:nvSpPr>
      <xdr:spPr>
        <a:xfrm>
          <a:off x="2162175" y="27736801"/>
          <a:ext cx="390525" cy="1123950"/>
        </a:xfrm>
        <a:prstGeom prst="curvedRightArrow">
          <a:avLst>
            <a:gd name="adj1" fmla="val 25000"/>
            <a:gd name="adj2" fmla="val 50000"/>
            <a:gd name="adj3" fmla="val 2368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ycounciltax.org.uk/content/ind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C3C35-45B4-48D1-87D1-C8A9C940EDE4}">
  <dimension ref="C2:D8"/>
  <sheetViews>
    <sheetView workbookViewId="0">
      <selection activeCell="H12" sqref="H12"/>
    </sheetView>
  </sheetViews>
  <sheetFormatPr defaultRowHeight="15" x14ac:dyDescent="0.25"/>
  <cols>
    <col min="1" max="2" width="9.140625" style="38"/>
    <col min="3" max="3" width="10.85546875" style="39" customWidth="1"/>
    <col min="4" max="4" width="138.140625" style="38" customWidth="1"/>
    <col min="5" max="16384" width="9.140625" style="38"/>
  </cols>
  <sheetData>
    <row r="2" spans="4:4" x14ac:dyDescent="0.25">
      <c r="D2" s="105" t="s">
        <v>93</v>
      </c>
    </row>
    <row r="4" spans="4:4" x14ac:dyDescent="0.25">
      <c r="D4" s="40" t="s">
        <v>95</v>
      </c>
    </row>
    <row r="5" spans="4:4" x14ac:dyDescent="0.25">
      <c r="D5" s="38" t="s">
        <v>94</v>
      </c>
    </row>
    <row r="6" spans="4:4" x14ac:dyDescent="0.25">
      <c r="D6" s="38" t="s">
        <v>121</v>
      </c>
    </row>
    <row r="7" spans="4:4" x14ac:dyDescent="0.25">
      <c r="D7" s="38" t="s">
        <v>122</v>
      </c>
    </row>
    <row r="8" spans="4:4" ht="45" x14ac:dyDescent="0.25">
      <c r="D8" s="42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F0111-84A4-4FD0-AA41-CEA0FE2135EA}">
  <dimension ref="A2:K252"/>
  <sheetViews>
    <sheetView topLeftCell="A18" workbookViewId="0">
      <selection activeCell="J172" sqref="J172"/>
    </sheetView>
  </sheetViews>
  <sheetFormatPr defaultColWidth="8.7109375" defaultRowHeight="13.5" x14ac:dyDescent="0.25"/>
  <cols>
    <col min="1" max="1" width="39.85546875" style="3" customWidth="1"/>
    <col min="2" max="2" width="73" style="3" customWidth="1"/>
    <col min="3" max="3" width="22.7109375" style="5" customWidth="1"/>
    <col min="4" max="4" width="20.85546875" style="3" customWidth="1"/>
    <col min="5" max="5" width="17.5703125" style="18" customWidth="1"/>
    <col min="6" max="6" width="25" style="3" customWidth="1"/>
    <col min="7" max="7" width="16" style="3" customWidth="1"/>
    <col min="8" max="8" width="13.140625" style="3" customWidth="1"/>
    <col min="9" max="9" width="16.5703125" style="3" customWidth="1"/>
    <col min="10" max="10" width="12" style="3" customWidth="1"/>
    <col min="11" max="11" width="27" style="3" customWidth="1"/>
    <col min="12" max="16384" width="8.7109375" style="3"/>
  </cols>
  <sheetData>
    <row r="2" spans="1:4" x14ac:dyDescent="0.25">
      <c r="A2" s="1"/>
      <c r="B2" s="2" t="s">
        <v>0</v>
      </c>
      <c r="C2" s="2" t="s">
        <v>1</v>
      </c>
      <c r="D2" s="2" t="s">
        <v>2</v>
      </c>
    </row>
    <row r="3" spans="1:4" x14ac:dyDescent="0.25">
      <c r="A3" s="4"/>
    </row>
    <row r="4" spans="1:4" x14ac:dyDescent="0.25">
      <c r="A4" s="4"/>
      <c r="B4" s="31" t="s">
        <v>129</v>
      </c>
    </row>
    <row r="5" spans="1:4" x14ac:dyDescent="0.25">
      <c r="A5" s="3" t="s">
        <v>3</v>
      </c>
      <c r="B5" s="44" t="s">
        <v>4</v>
      </c>
      <c r="C5" s="6">
        <v>0</v>
      </c>
      <c r="D5" s="6">
        <v>0</v>
      </c>
    </row>
    <row r="6" spans="1:4" x14ac:dyDescent="0.25">
      <c r="B6" s="31"/>
    </row>
    <row r="7" spans="1:4" x14ac:dyDescent="0.25">
      <c r="A7" s="3" t="s">
        <v>5</v>
      </c>
      <c r="B7" s="44" t="s">
        <v>6</v>
      </c>
      <c r="C7" s="7"/>
      <c r="D7" s="7"/>
    </row>
    <row r="8" spans="1:4" x14ac:dyDescent="0.25">
      <c r="B8" s="31"/>
      <c r="C8" s="3"/>
    </row>
    <row r="9" spans="1:4" x14ac:dyDescent="0.25">
      <c r="A9" s="3" t="s">
        <v>9</v>
      </c>
      <c r="B9" s="31" t="s">
        <v>10</v>
      </c>
      <c r="C9" s="7"/>
      <c r="D9" s="7"/>
    </row>
    <row r="10" spans="1:4" x14ac:dyDescent="0.25">
      <c r="B10" s="31" t="s">
        <v>11</v>
      </c>
      <c r="C10" s="7"/>
      <c r="D10" s="7"/>
    </row>
    <row r="11" spans="1:4" x14ac:dyDescent="0.25">
      <c r="B11" s="31" t="s">
        <v>99</v>
      </c>
      <c r="C11" s="7"/>
      <c r="D11" s="7"/>
    </row>
    <row r="12" spans="1:4" x14ac:dyDescent="0.25">
      <c r="B12" s="31" t="s">
        <v>100</v>
      </c>
      <c r="C12" s="7"/>
      <c r="D12" s="7"/>
    </row>
    <row r="13" spans="1:4" x14ac:dyDescent="0.25">
      <c r="B13" s="31"/>
      <c r="C13" s="7"/>
      <c r="D13" s="7"/>
    </row>
    <row r="14" spans="1:4" x14ac:dyDescent="0.25">
      <c r="A14" s="9" t="s">
        <v>12</v>
      </c>
      <c r="B14" s="31" t="s">
        <v>13</v>
      </c>
      <c r="C14" s="7"/>
      <c r="D14" s="7"/>
    </row>
    <row r="15" spans="1:4" x14ac:dyDescent="0.25">
      <c r="B15" s="31"/>
      <c r="C15" s="3"/>
    </row>
    <row r="16" spans="1:4" x14ac:dyDescent="0.25">
      <c r="A16" s="3" t="s">
        <v>7</v>
      </c>
      <c r="B16" s="31" t="s">
        <v>97</v>
      </c>
      <c r="C16" s="7"/>
      <c r="D16" s="7"/>
    </row>
    <row r="17" spans="1:4" ht="40.5" x14ac:dyDescent="0.25">
      <c r="A17" s="8" t="s">
        <v>96</v>
      </c>
      <c r="B17" s="31" t="s">
        <v>101</v>
      </c>
      <c r="C17" s="7"/>
      <c r="D17" s="7"/>
    </row>
    <row r="18" spans="1:4" x14ac:dyDescent="0.25">
      <c r="A18" s="8"/>
      <c r="B18" s="31" t="s">
        <v>102</v>
      </c>
      <c r="C18" s="7"/>
      <c r="D18" s="7"/>
    </row>
    <row r="19" spans="1:4" x14ac:dyDescent="0.25">
      <c r="B19" s="31" t="s">
        <v>8</v>
      </c>
      <c r="C19" s="7"/>
      <c r="D19" s="7"/>
    </row>
    <row r="20" spans="1:4" x14ac:dyDescent="0.25">
      <c r="B20" s="31" t="s">
        <v>103</v>
      </c>
      <c r="C20" s="7"/>
      <c r="D20" s="7"/>
    </row>
    <row r="21" spans="1:4" x14ac:dyDescent="0.25">
      <c r="B21" s="31" t="s">
        <v>107</v>
      </c>
      <c r="C21" s="7"/>
      <c r="D21" s="7"/>
    </row>
    <row r="22" spans="1:4" x14ac:dyDescent="0.25">
      <c r="B22" s="31" t="s">
        <v>104</v>
      </c>
      <c r="C22" s="7"/>
      <c r="D22" s="7"/>
    </row>
    <row r="23" spans="1:4" x14ac:dyDescent="0.25">
      <c r="B23" s="31" t="s">
        <v>105</v>
      </c>
      <c r="C23" s="7"/>
      <c r="D23" s="7"/>
    </row>
    <row r="24" spans="1:4" x14ac:dyDescent="0.25">
      <c r="B24" s="31" t="s">
        <v>106</v>
      </c>
      <c r="C24" s="7"/>
      <c r="D24" s="7"/>
    </row>
    <row r="25" spans="1:4" x14ac:dyDescent="0.25">
      <c r="B25" s="31"/>
      <c r="C25" s="3"/>
    </row>
    <row r="26" spans="1:4" x14ac:dyDescent="0.25">
      <c r="A26" s="3" t="s">
        <v>108</v>
      </c>
      <c r="B26" s="31" t="s">
        <v>109</v>
      </c>
      <c r="C26" s="29"/>
      <c r="D26" s="29"/>
    </row>
    <row r="27" spans="1:4" x14ac:dyDescent="0.25">
      <c r="B27" s="31" t="s">
        <v>110</v>
      </c>
      <c r="C27" s="29"/>
      <c r="D27" s="29"/>
    </row>
    <row r="28" spans="1:4" x14ac:dyDescent="0.25">
      <c r="B28" s="31" t="s">
        <v>111</v>
      </c>
      <c r="C28" s="29"/>
      <c r="D28" s="29"/>
    </row>
    <row r="29" spans="1:4" x14ac:dyDescent="0.25">
      <c r="B29" s="31" t="s">
        <v>112</v>
      </c>
      <c r="C29" s="29"/>
      <c r="D29" s="29"/>
    </row>
    <row r="30" spans="1:4" x14ac:dyDescent="0.25">
      <c r="B30" s="31" t="s">
        <v>113</v>
      </c>
      <c r="C30" s="29"/>
      <c r="D30" s="29"/>
    </row>
    <row r="31" spans="1:4" x14ac:dyDescent="0.25">
      <c r="A31" s="9"/>
      <c r="B31" s="31"/>
      <c r="D31" s="5"/>
    </row>
    <row r="32" spans="1:4" x14ac:dyDescent="0.25">
      <c r="A32" s="9" t="s">
        <v>98</v>
      </c>
      <c r="B32" s="31" t="s">
        <v>114</v>
      </c>
      <c r="C32" s="29"/>
      <c r="D32" s="29"/>
    </row>
    <row r="33" spans="1:11" x14ac:dyDescent="0.25">
      <c r="A33" s="9"/>
      <c r="B33" s="31" t="s">
        <v>115</v>
      </c>
      <c r="C33" s="29"/>
      <c r="D33" s="29"/>
    </row>
    <row r="34" spans="1:11" x14ac:dyDescent="0.25">
      <c r="A34" s="9"/>
      <c r="B34" s="31"/>
      <c r="D34" s="5"/>
    </row>
    <row r="35" spans="1:11" x14ac:dyDescent="0.25">
      <c r="A35" s="9" t="s">
        <v>116</v>
      </c>
      <c r="B35" s="31" t="s">
        <v>117</v>
      </c>
      <c r="C35" s="29"/>
      <c r="D35" s="29"/>
    </row>
    <row r="36" spans="1:11" x14ac:dyDescent="0.25">
      <c r="A36" s="9"/>
      <c r="B36" s="31" t="s">
        <v>118</v>
      </c>
      <c r="C36" s="29"/>
      <c r="D36" s="29"/>
    </row>
    <row r="37" spans="1:11" x14ac:dyDescent="0.25">
      <c r="A37" s="9"/>
      <c r="B37" s="31"/>
      <c r="D37" s="5"/>
    </row>
    <row r="38" spans="1:11" ht="27" x14ac:dyDescent="0.25">
      <c r="A38" s="9" t="s">
        <v>119</v>
      </c>
      <c r="B38" s="31" t="s">
        <v>158</v>
      </c>
      <c r="C38" s="7"/>
      <c r="D38" s="7"/>
    </row>
    <row r="39" spans="1:11" ht="14.25" thickBot="1" x14ac:dyDescent="0.3"/>
    <row r="40" spans="1:11" ht="14.25" thickBot="1" x14ac:dyDescent="0.3">
      <c r="B40" s="10" t="s">
        <v>120</v>
      </c>
      <c r="C40" s="11" t="s">
        <v>14</v>
      </c>
    </row>
    <row r="43" spans="1:11" x14ac:dyDescent="0.25">
      <c r="A43" s="12"/>
      <c r="B43" s="2" t="s">
        <v>123</v>
      </c>
      <c r="C43" s="13"/>
      <c r="D43" s="12"/>
    </row>
    <row r="44" spans="1:11" x14ac:dyDescent="0.25">
      <c r="A44" s="4"/>
      <c r="B44" s="14"/>
      <c r="C44" s="15"/>
      <c r="D44" s="4"/>
    </row>
    <row r="45" spans="1:11" x14ac:dyDescent="0.25">
      <c r="A45" s="4"/>
      <c r="B45" s="31" t="s">
        <v>130</v>
      </c>
      <c r="C45" s="15"/>
      <c r="D45" s="4"/>
      <c r="F45" s="31" t="s">
        <v>131</v>
      </c>
    </row>
    <row r="46" spans="1:11" x14ac:dyDescent="0.25">
      <c r="A46" s="4"/>
      <c r="B46" s="14"/>
      <c r="C46" s="15"/>
      <c r="D46" s="4"/>
      <c r="F46" s="31"/>
    </row>
    <row r="47" spans="1:11" x14ac:dyDescent="0.25">
      <c r="A47" s="4" t="s">
        <v>15</v>
      </c>
      <c r="B47" s="3" t="s">
        <v>127</v>
      </c>
      <c r="C47" s="14"/>
      <c r="D47" s="4"/>
      <c r="G47" s="9"/>
      <c r="H47" s="9"/>
      <c r="I47" s="9"/>
      <c r="J47" s="9"/>
      <c r="K47" s="9"/>
    </row>
    <row r="48" spans="1:11" x14ac:dyDescent="0.25">
      <c r="A48" s="4"/>
      <c r="B48" s="28" t="s">
        <v>20</v>
      </c>
      <c r="C48" s="16"/>
      <c r="D48" s="4"/>
      <c r="F48" s="31" t="s">
        <v>161</v>
      </c>
      <c r="G48" s="9"/>
      <c r="H48" s="9"/>
      <c r="I48" s="9"/>
      <c r="J48" s="9"/>
      <c r="K48" s="9"/>
    </row>
    <row r="49" spans="1:11" x14ac:dyDescent="0.25">
      <c r="A49" s="4"/>
      <c r="B49" s="28" t="s">
        <v>21</v>
      </c>
      <c r="C49" s="16"/>
      <c r="D49" s="4"/>
      <c r="G49" s="9"/>
      <c r="H49" s="9"/>
      <c r="I49" s="9"/>
      <c r="J49" s="9"/>
      <c r="K49" s="9"/>
    </row>
    <row r="50" spans="1:11" x14ac:dyDescent="0.25">
      <c r="A50" s="4"/>
      <c r="B50" s="28" t="s">
        <v>22</v>
      </c>
      <c r="C50" s="16"/>
      <c r="D50" s="4"/>
      <c r="G50" s="9"/>
      <c r="H50" s="9"/>
      <c r="I50" s="9"/>
      <c r="J50" s="9"/>
      <c r="K50" s="9"/>
    </row>
    <row r="51" spans="1:11" x14ac:dyDescent="0.25">
      <c r="A51" s="4"/>
      <c r="B51" s="28" t="s">
        <v>23</v>
      </c>
      <c r="C51" s="16"/>
      <c r="D51" s="4"/>
      <c r="G51" s="9"/>
      <c r="H51" s="9"/>
      <c r="I51" s="9"/>
      <c r="J51" s="9"/>
      <c r="K51" s="9"/>
    </row>
    <row r="52" spans="1:11" x14ac:dyDescent="0.25">
      <c r="A52" s="4"/>
      <c r="B52" s="28" t="s">
        <v>24</v>
      </c>
      <c r="C52" s="16"/>
      <c r="D52" s="4"/>
      <c r="G52" s="9"/>
      <c r="H52" s="9"/>
      <c r="I52" s="9"/>
      <c r="J52" s="9"/>
      <c r="K52" s="9"/>
    </row>
    <row r="53" spans="1:11" x14ac:dyDescent="0.25">
      <c r="A53" s="4"/>
      <c r="B53" s="28" t="s">
        <v>25</v>
      </c>
      <c r="C53" s="16"/>
      <c r="D53" s="4"/>
      <c r="G53" s="9"/>
      <c r="H53" s="9"/>
      <c r="I53" s="9"/>
      <c r="J53" s="9"/>
      <c r="K53" s="9"/>
    </row>
    <row r="54" spans="1:11" x14ac:dyDescent="0.25">
      <c r="A54" s="4"/>
      <c r="B54" s="47" t="s">
        <v>125</v>
      </c>
      <c r="C54" s="48" t="s">
        <v>132</v>
      </c>
      <c r="D54" s="4"/>
      <c r="F54" s="31" t="s">
        <v>197</v>
      </c>
    </row>
    <row r="55" spans="1:11" x14ac:dyDescent="0.25">
      <c r="A55" s="4"/>
      <c r="B55" s="14"/>
      <c r="C55" s="15"/>
      <c r="D55" s="4"/>
    </row>
    <row r="56" spans="1:11" x14ac:dyDescent="0.25">
      <c r="A56" s="4" t="s">
        <v>133</v>
      </c>
      <c r="B56" s="3" t="s">
        <v>135</v>
      </c>
      <c r="C56" s="51" t="s">
        <v>132</v>
      </c>
      <c r="F56" s="31" t="s">
        <v>198</v>
      </c>
    </row>
    <row r="57" spans="1:11" ht="54" x14ac:dyDescent="0.25">
      <c r="A57" s="9" t="s">
        <v>604</v>
      </c>
      <c r="B57" s="3" t="s">
        <v>136</v>
      </c>
      <c r="C57" s="52" t="s">
        <v>137</v>
      </c>
    </row>
    <row r="58" spans="1:11" ht="67.5" x14ac:dyDescent="0.25">
      <c r="A58" s="9" t="s">
        <v>495</v>
      </c>
      <c r="B58" s="3" t="s">
        <v>605</v>
      </c>
      <c r="C58" s="52" t="s">
        <v>137</v>
      </c>
    </row>
    <row r="59" spans="1:11" x14ac:dyDescent="0.25">
      <c r="A59" s="3" t="s">
        <v>140</v>
      </c>
      <c r="B59" s="3" t="s">
        <v>139</v>
      </c>
      <c r="C59" s="51" t="s">
        <v>132</v>
      </c>
      <c r="F59" s="31" t="s">
        <v>199</v>
      </c>
    </row>
    <row r="60" spans="1:11" x14ac:dyDescent="0.25">
      <c r="A60" s="3" t="s">
        <v>141</v>
      </c>
      <c r="B60" s="3" t="s">
        <v>142</v>
      </c>
      <c r="C60" s="52" t="s">
        <v>137</v>
      </c>
      <c r="F60" s="31"/>
    </row>
    <row r="62" spans="1:11" x14ac:dyDescent="0.25">
      <c r="A62" s="4" t="s">
        <v>153</v>
      </c>
      <c r="B62" s="3" t="s">
        <v>157</v>
      </c>
      <c r="C62" s="51" t="s">
        <v>132</v>
      </c>
      <c r="F62" s="31" t="s">
        <v>200</v>
      </c>
    </row>
    <row r="63" spans="1:11" x14ac:dyDescent="0.25">
      <c r="A63" s="4"/>
      <c r="C63" s="53"/>
      <c r="F63" s="31"/>
    </row>
    <row r="64" spans="1:11" x14ac:dyDescent="0.25">
      <c r="A64" s="4" t="s">
        <v>147</v>
      </c>
    </row>
    <row r="65" spans="1:6" x14ac:dyDescent="0.25">
      <c r="A65" s="9" t="s">
        <v>148</v>
      </c>
      <c r="B65" s="3" t="s">
        <v>149</v>
      </c>
      <c r="C65" s="20" t="s">
        <v>150</v>
      </c>
      <c r="F65" s="31"/>
    </row>
    <row r="66" spans="1:6" x14ac:dyDescent="0.25">
      <c r="A66" s="9"/>
      <c r="B66" s="3" t="s">
        <v>159</v>
      </c>
      <c r="C66" s="51" t="s">
        <v>132</v>
      </c>
      <c r="F66" s="31" t="s">
        <v>201</v>
      </c>
    </row>
    <row r="67" spans="1:6" x14ac:dyDescent="0.25">
      <c r="A67" s="9" t="s">
        <v>151</v>
      </c>
      <c r="B67" s="3" t="s">
        <v>152</v>
      </c>
      <c r="C67" s="20" t="s">
        <v>150</v>
      </c>
    </row>
    <row r="68" spans="1:6" x14ac:dyDescent="0.25">
      <c r="B68" s="3" t="s">
        <v>160</v>
      </c>
      <c r="C68" s="51" t="s">
        <v>132</v>
      </c>
      <c r="F68" s="31" t="s">
        <v>202</v>
      </c>
    </row>
    <row r="69" spans="1:6" x14ac:dyDescent="0.25">
      <c r="A69" s="4"/>
    </row>
    <row r="70" spans="1:6" x14ac:dyDescent="0.25">
      <c r="A70" s="4" t="s">
        <v>163</v>
      </c>
      <c r="B70" s="3" t="s">
        <v>167</v>
      </c>
      <c r="C70" s="51" t="s">
        <v>132</v>
      </c>
      <c r="F70" s="31" t="s">
        <v>203</v>
      </c>
    </row>
    <row r="71" spans="1:6" x14ac:dyDescent="0.25">
      <c r="A71" s="4"/>
    </row>
    <row r="72" spans="1:6" x14ac:dyDescent="0.25">
      <c r="A72" s="4" t="s">
        <v>182</v>
      </c>
      <c r="B72" s="3" t="s">
        <v>175</v>
      </c>
      <c r="C72" s="52" t="s">
        <v>137</v>
      </c>
    </row>
    <row r="73" spans="1:6" x14ac:dyDescent="0.25">
      <c r="A73" s="4"/>
      <c r="B73" s="3" t="s">
        <v>176</v>
      </c>
      <c r="C73" s="52" t="s">
        <v>137</v>
      </c>
    </row>
    <row r="74" spans="1:6" x14ac:dyDescent="0.25">
      <c r="A74" s="4"/>
      <c r="B74" s="3" t="s">
        <v>177</v>
      </c>
      <c r="C74" s="51" t="s">
        <v>169</v>
      </c>
    </row>
    <row r="75" spans="1:6" x14ac:dyDescent="0.25">
      <c r="A75" s="4"/>
      <c r="B75" s="3" t="s">
        <v>170</v>
      </c>
      <c r="C75" s="51" t="s">
        <v>132</v>
      </c>
      <c r="F75" s="31" t="s">
        <v>204</v>
      </c>
    </row>
    <row r="76" spans="1:6" x14ac:dyDescent="0.25">
      <c r="A76" s="4"/>
      <c r="B76" s="3" t="s">
        <v>172</v>
      </c>
      <c r="C76" s="52" t="s">
        <v>137</v>
      </c>
      <c r="F76" s="31"/>
    </row>
    <row r="77" spans="1:6" x14ac:dyDescent="0.25">
      <c r="A77" s="4"/>
      <c r="B77" s="3" t="s">
        <v>178</v>
      </c>
      <c r="C77" s="51" t="s">
        <v>173</v>
      </c>
      <c r="F77" s="31" t="s">
        <v>174</v>
      </c>
    </row>
    <row r="78" spans="1:6" x14ac:dyDescent="0.25">
      <c r="A78" s="4"/>
      <c r="B78" s="3" t="s">
        <v>535</v>
      </c>
      <c r="C78" s="51" t="s">
        <v>132</v>
      </c>
      <c r="F78" s="31" t="s">
        <v>536</v>
      </c>
    </row>
    <row r="79" spans="1:6" x14ac:dyDescent="0.25">
      <c r="A79" s="4"/>
      <c r="B79" s="3" t="s">
        <v>180</v>
      </c>
      <c r="C79" s="51" t="s">
        <v>132</v>
      </c>
      <c r="F79" s="31" t="s">
        <v>205</v>
      </c>
    </row>
    <row r="80" spans="1:6" x14ac:dyDescent="0.25">
      <c r="A80" s="4"/>
      <c r="B80" s="3" t="s">
        <v>183</v>
      </c>
      <c r="C80" s="51" t="s">
        <v>132</v>
      </c>
      <c r="F80" s="31" t="s">
        <v>538</v>
      </c>
    </row>
    <row r="81" spans="1:6" x14ac:dyDescent="0.25">
      <c r="A81" s="4"/>
      <c r="B81" s="3" t="s">
        <v>184</v>
      </c>
      <c r="C81" s="51" t="s">
        <v>132</v>
      </c>
      <c r="F81" s="31"/>
    </row>
    <row r="82" spans="1:6" x14ac:dyDescent="0.25">
      <c r="A82" s="4"/>
    </row>
    <row r="83" spans="1:6" x14ac:dyDescent="0.25">
      <c r="A83" s="4" t="s">
        <v>185</v>
      </c>
      <c r="B83" s="3" t="s">
        <v>186</v>
      </c>
      <c r="C83" s="52" t="s">
        <v>137</v>
      </c>
    </row>
    <row r="84" spans="1:6" ht="14.25" thickBot="1" x14ac:dyDescent="0.3"/>
    <row r="85" spans="1:6" ht="14.25" thickBot="1" x14ac:dyDescent="0.3">
      <c r="B85" s="10" t="s">
        <v>187</v>
      </c>
      <c r="C85" s="17" t="s">
        <v>14</v>
      </c>
      <c r="F85" s="31" t="s">
        <v>539</v>
      </c>
    </row>
    <row r="86" spans="1:6" ht="14.25" thickBot="1" x14ac:dyDescent="0.3"/>
    <row r="87" spans="1:6" ht="14.25" thickBot="1" x14ac:dyDescent="0.3">
      <c r="A87" s="18" t="s">
        <v>16</v>
      </c>
      <c r="B87" s="10" t="s">
        <v>17</v>
      </c>
      <c r="C87" s="17" t="s">
        <v>14</v>
      </c>
      <c r="F87" s="68" t="s">
        <v>540</v>
      </c>
    </row>
    <row r="90" spans="1:6" x14ac:dyDescent="0.25">
      <c r="A90" s="4" t="s">
        <v>193</v>
      </c>
      <c r="B90" s="18" t="s">
        <v>206</v>
      </c>
      <c r="C90" s="51" t="s">
        <v>132</v>
      </c>
      <c r="F90" s="31" t="s">
        <v>196</v>
      </c>
    </row>
    <row r="91" spans="1:6" x14ac:dyDescent="0.25">
      <c r="A91" s="4"/>
    </row>
    <row r="92" spans="1:6" x14ac:dyDescent="0.25">
      <c r="A92" s="4" t="s">
        <v>274</v>
      </c>
      <c r="B92" s="3" t="s">
        <v>220</v>
      </c>
    </row>
    <row r="93" spans="1:6" x14ac:dyDescent="0.25">
      <c r="A93" s="4"/>
      <c r="B93" s="20" t="s">
        <v>221</v>
      </c>
      <c r="F93" s="31" t="s">
        <v>161</v>
      </c>
    </row>
    <row r="94" spans="1:6" x14ac:dyDescent="0.25">
      <c r="A94" s="4"/>
      <c r="B94" s="20" t="s">
        <v>232</v>
      </c>
    </row>
    <row r="95" spans="1:6" x14ac:dyDescent="0.25">
      <c r="A95" s="4"/>
      <c r="B95" s="20" t="s">
        <v>222</v>
      </c>
    </row>
    <row r="96" spans="1:6" x14ac:dyDescent="0.25">
      <c r="A96" s="4"/>
      <c r="B96" s="20" t="s">
        <v>223</v>
      </c>
    </row>
    <row r="97" spans="1:6" x14ac:dyDescent="0.25">
      <c r="A97" s="4"/>
      <c r="B97" s="29" t="s">
        <v>224</v>
      </c>
      <c r="C97" s="52" t="s">
        <v>137</v>
      </c>
    </row>
    <row r="98" spans="1:6" x14ac:dyDescent="0.25">
      <c r="A98" s="4"/>
      <c r="B98" s="29" t="s">
        <v>225</v>
      </c>
      <c r="C98" s="52" t="s">
        <v>137</v>
      </c>
    </row>
    <row r="99" spans="1:6" x14ac:dyDescent="0.25">
      <c r="A99" s="4"/>
      <c r="B99" s="29" t="s">
        <v>226</v>
      </c>
      <c r="C99" s="52" t="s">
        <v>137</v>
      </c>
    </row>
    <row r="100" spans="1:6" x14ac:dyDescent="0.25">
      <c r="A100" s="4"/>
      <c r="B100" s="29" t="s">
        <v>227</v>
      </c>
      <c r="C100" s="52" t="s">
        <v>137</v>
      </c>
    </row>
    <row r="101" spans="1:6" x14ac:dyDescent="0.25">
      <c r="A101" s="4"/>
      <c r="B101" s="29" t="s">
        <v>549</v>
      </c>
      <c r="C101" s="52" t="s">
        <v>137</v>
      </c>
    </row>
    <row r="102" spans="1:6" x14ac:dyDescent="0.25">
      <c r="A102" s="4"/>
      <c r="B102" s="29" t="s">
        <v>550</v>
      </c>
      <c r="C102" s="52" t="s">
        <v>137</v>
      </c>
      <c r="F102" s="31"/>
    </row>
    <row r="103" spans="1:6" x14ac:dyDescent="0.25">
      <c r="A103" s="4"/>
      <c r="B103" s="29" t="s">
        <v>228</v>
      </c>
      <c r="C103" s="51" t="s">
        <v>132</v>
      </c>
      <c r="F103" s="31" t="s">
        <v>541</v>
      </c>
    </row>
    <row r="104" spans="1:6" x14ac:dyDescent="0.25">
      <c r="A104" s="4"/>
      <c r="B104" s="29" t="s">
        <v>229</v>
      </c>
      <c r="C104" s="51" t="s">
        <v>132</v>
      </c>
      <c r="F104" s="31" t="s">
        <v>542</v>
      </c>
    </row>
    <row r="105" spans="1:6" x14ac:dyDescent="0.25">
      <c r="A105" s="4"/>
      <c r="B105" s="29" t="s">
        <v>235</v>
      </c>
      <c r="C105" s="51" t="s">
        <v>132</v>
      </c>
      <c r="F105" s="31" t="s">
        <v>554</v>
      </c>
    </row>
    <row r="106" spans="1:6" x14ac:dyDescent="0.25">
      <c r="A106" s="4"/>
      <c r="B106" s="29" t="s">
        <v>230</v>
      </c>
      <c r="C106" s="51" t="s">
        <v>132</v>
      </c>
      <c r="F106" s="31" t="s">
        <v>543</v>
      </c>
    </row>
    <row r="107" spans="1:6" x14ac:dyDescent="0.25">
      <c r="A107" s="4"/>
    </row>
    <row r="108" spans="1:6" x14ac:dyDescent="0.25">
      <c r="A108" s="4"/>
      <c r="B108" s="14" t="s">
        <v>207</v>
      </c>
      <c r="C108" s="51" t="s">
        <v>132</v>
      </c>
      <c r="F108" s="31" t="s">
        <v>266</v>
      </c>
    </row>
    <row r="109" spans="1:6" x14ac:dyDescent="0.25">
      <c r="A109" s="4"/>
      <c r="B109" s="18"/>
      <c r="C109" s="19"/>
    </row>
    <row r="110" spans="1:6" x14ac:dyDescent="0.25">
      <c r="A110" s="4"/>
      <c r="B110" s="67" t="s">
        <v>251</v>
      </c>
      <c r="C110" s="51" t="s">
        <v>132</v>
      </c>
      <c r="F110" s="31" t="s">
        <v>555</v>
      </c>
    </row>
    <row r="111" spans="1:6" x14ac:dyDescent="0.25">
      <c r="A111" s="4"/>
      <c r="B111" s="67"/>
      <c r="C111" s="53"/>
      <c r="F111" s="31"/>
    </row>
    <row r="112" spans="1:6" x14ac:dyDescent="0.25">
      <c r="A112" s="4"/>
      <c r="B112" s="14" t="s">
        <v>250</v>
      </c>
      <c r="C112" s="51" t="s">
        <v>132</v>
      </c>
      <c r="F112" s="31" t="s">
        <v>556</v>
      </c>
    </row>
    <row r="113" spans="1:6" x14ac:dyDescent="0.25">
      <c r="A113" s="4"/>
      <c r="B113" s="18"/>
      <c r="C113" s="19"/>
    </row>
    <row r="114" spans="1:6" x14ac:dyDescent="0.25">
      <c r="A114" s="4"/>
      <c r="B114" s="67" t="s">
        <v>267</v>
      </c>
      <c r="C114" s="51" t="s">
        <v>132</v>
      </c>
      <c r="F114" s="31" t="s">
        <v>268</v>
      </c>
    </row>
    <row r="115" spans="1:6" x14ac:dyDescent="0.25">
      <c r="A115" s="4"/>
      <c r="B115" s="67"/>
      <c r="C115" s="53"/>
      <c r="F115" s="31"/>
    </row>
    <row r="116" spans="1:6" x14ac:dyDescent="0.25">
      <c r="B116" s="14" t="s">
        <v>272</v>
      </c>
      <c r="C116" s="51" t="s">
        <v>132</v>
      </c>
      <c r="F116" s="31" t="s">
        <v>557</v>
      </c>
    </row>
    <row r="117" spans="1:6" x14ac:dyDescent="0.25">
      <c r="B117" s="14"/>
      <c r="C117" s="53"/>
      <c r="F117" s="31"/>
    </row>
    <row r="118" spans="1:6" x14ac:dyDescent="0.25">
      <c r="A118" s="4" t="s">
        <v>302</v>
      </c>
      <c r="B118" s="3" t="s">
        <v>189</v>
      </c>
      <c r="C118" s="52" t="s">
        <v>137</v>
      </c>
    </row>
    <row r="119" spans="1:6" x14ac:dyDescent="0.25">
      <c r="B119" s="3" t="s">
        <v>190</v>
      </c>
      <c r="C119" s="52" t="s">
        <v>137</v>
      </c>
    </row>
    <row r="120" spans="1:6" x14ac:dyDescent="0.25">
      <c r="B120" s="3" t="s">
        <v>191</v>
      </c>
      <c r="C120" s="52" t="s">
        <v>137</v>
      </c>
    </row>
    <row r="121" spans="1:6" x14ac:dyDescent="0.25">
      <c r="B121" s="3" t="s">
        <v>303</v>
      </c>
      <c r="C121" s="52" t="s">
        <v>137</v>
      </c>
    </row>
    <row r="122" spans="1:6" x14ac:dyDescent="0.25">
      <c r="B122" s="3" t="s">
        <v>172</v>
      </c>
      <c r="C122" s="52" t="s">
        <v>137</v>
      </c>
      <c r="F122" s="31"/>
    </row>
    <row r="123" spans="1:6" x14ac:dyDescent="0.25">
      <c r="B123" s="3" t="s">
        <v>192</v>
      </c>
      <c r="C123" s="71" t="s">
        <v>132</v>
      </c>
      <c r="F123" s="31" t="s">
        <v>588</v>
      </c>
    </row>
    <row r="124" spans="1:6" x14ac:dyDescent="0.25">
      <c r="B124" s="3" t="s">
        <v>307</v>
      </c>
      <c r="C124" s="71" t="s">
        <v>132</v>
      </c>
      <c r="F124" s="31" t="s">
        <v>298</v>
      </c>
    </row>
    <row r="125" spans="1:6" x14ac:dyDescent="0.25">
      <c r="B125" s="14" t="s">
        <v>295</v>
      </c>
      <c r="C125" s="51" t="s">
        <v>132</v>
      </c>
      <c r="F125" s="31" t="s">
        <v>589</v>
      </c>
    </row>
    <row r="126" spans="1:6" x14ac:dyDescent="0.25">
      <c r="B126" s="18" t="s">
        <v>296</v>
      </c>
      <c r="C126" s="51" t="s">
        <v>132</v>
      </c>
      <c r="F126" s="31" t="s">
        <v>590</v>
      </c>
    </row>
    <row r="127" spans="1:6" x14ac:dyDescent="0.25">
      <c r="B127" s="18" t="s">
        <v>326</v>
      </c>
      <c r="C127" s="72" t="s">
        <v>297</v>
      </c>
      <c r="F127" s="31" t="s">
        <v>591</v>
      </c>
    </row>
    <row r="128" spans="1:6" x14ac:dyDescent="0.25">
      <c r="B128" s="14"/>
    </row>
    <row r="129" spans="1:6" x14ac:dyDescent="0.25">
      <c r="A129" s="66" t="s">
        <v>18</v>
      </c>
      <c r="B129" s="67" t="s">
        <v>305</v>
      </c>
      <c r="C129" s="52" t="s">
        <v>301</v>
      </c>
    </row>
    <row r="131" spans="1:6" x14ac:dyDescent="0.25">
      <c r="A131" s="66" t="s">
        <v>308</v>
      </c>
      <c r="B131" s="3" t="s">
        <v>306</v>
      </c>
      <c r="C131" s="51" t="s">
        <v>309</v>
      </c>
      <c r="F131" s="31" t="s">
        <v>592</v>
      </c>
    </row>
    <row r="132" spans="1:6" x14ac:dyDescent="0.25">
      <c r="A132" s="66"/>
      <c r="B132" s="3" t="s">
        <v>594</v>
      </c>
      <c r="C132" s="51" t="s">
        <v>309</v>
      </c>
      <c r="F132" s="31" t="s">
        <v>593</v>
      </c>
    </row>
    <row r="133" spans="1:6" x14ac:dyDescent="0.25">
      <c r="A133" s="66"/>
      <c r="B133" s="3" t="s">
        <v>595</v>
      </c>
      <c r="C133" s="51" t="s">
        <v>132</v>
      </c>
      <c r="F133" s="31" t="s">
        <v>311</v>
      </c>
    </row>
    <row r="134" spans="1:6" x14ac:dyDescent="0.25">
      <c r="B134" s="67" t="s">
        <v>308</v>
      </c>
      <c r="C134" s="51" t="s">
        <v>309</v>
      </c>
      <c r="F134" s="31" t="s">
        <v>596</v>
      </c>
    </row>
    <row r="135" spans="1:6" x14ac:dyDescent="0.25">
      <c r="B135" s="14" t="s">
        <v>327</v>
      </c>
      <c r="C135" s="72" t="s">
        <v>297</v>
      </c>
      <c r="F135" s="31" t="s">
        <v>597</v>
      </c>
    </row>
    <row r="136" spans="1:6" x14ac:dyDescent="0.25">
      <c r="B136" s="14"/>
      <c r="C136" s="53"/>
      <c r="F136" s="31"/>
    </row>
    <row r="138" spans="1:6" ht="30" customHeight="1" thickBot="1" x14ac:dyDescent="0.3">
      <c r="A138" s="127" t="s">
        <v>338</v>
      </c>
      <c r="B138" s="128"/>
      <c r="C138" s="128"/>
      <c r="D138" s="129"/>
    </row>
    <row r="139" spans="1:6" ht="11.25" customHeight="1" thickTop="1" x14ac:dyDescent="0.25">
      <c r="A139" s="79"/>
      <c r="B139" s="78"/>
      <c r="C139"/>
    </row>
    <row r="140" spans="1:6" x14ac:dyDescent="0.25">
      <c r="A140" s="80" t="s">
        <v>336</v>
      </c>
      <c r="B140" s="14"/>
      <c r="D140" s="4"/>
    </row>
    <row r="141" spans="1:6" x14ac:dyDescent="0.25">
      <c r="A141" s="53" t="s">
        <v>337</v>
      </c>
      <c r="B141" s="66" t="s">
        <v>329</v>
      </c>
      <c r="C141" s="15"/>
    </row>
    <row r="142" spans="1:6" x14ac:dyDescent="0.25">
      <c r="A142" s="53"/>
      <c r="B142" s="67"/>
    </row>
    <row r="143" spans="1:6" x14ac:dyDescent="0.25">
      <c r="A143" s="66"/>
    </row>
    <row r="144" spans="1:6" x14ac:dyDescent="0.25">
      <c r="A144" s="76" t="s">
        <v>328</v>
      </c>
      <c r="B144" s="76" t="s">
        <v>329</v>
      </c>
      <c r="C144" s="80" t="s">
        <v>330</v>
      </c>
      <c r="D144" s="77"/>
    </row>
    <row r="145" spans="1:6" x14ac:dyDescent="0.25">
      <c r="A145" s="18" t="s">
        <v>340</v>
      </c>
      <c r="B145" s="67" t="s">
        <v>329</v>
      </c>
      <c r="C145" s="52" t="s">
        <v>137</v>
      </c>
      <c r="D145" s="5"/>
    </row>
    <row r="146" spans="1:6" x14ac:dyDescent="0.25">
      <c r="A146" s="18"/>
      <c r="B146" s="67"/>
      <c r="D146" s="5"/>
    </row>
    <row r="147" spans="1:6" x14ac:dyDescent="0.25">
      <c r="A147" s="18" t="s">
        <v>341</v>
      </c>
      <c r="B147" s="67" t="s">
        <v>329</v>
      </c>
      <c r="C147" s="52" t="s">
        <v>137</v>
      </c>
      <c r="D147" s="5"/>
    </row>
    <row r="148" spans="1:6" x14ac:dyDescent="0.25">
      <c r="A148" s="18"/>
      <c r="B148" s="67"/>
      <c r="D148" s="5"/>
    </row>
    <row r="149" spans="1:6" x14ac:dyDescent="0.25">
      <c r="A149" s="18" t="s">
        <v>342</v>
      </c>
      <c r="B149" s="67" t="s">
        <v>329</v>
      </c>
      <c r="C149" s="52" t="s">
        <v>137</v>
      </c>
    </row>
    <row r="150" spans="1:6" x14ac:dyDescent="0.25">
      <c r="B150" s="14"/>
    </row>
    <row r="151" spans="1:6" x14ac:dyDescent="0.25">
      <c r="B151" s="18" t="s">
        <v>19</v>
      </c>
      <c r="C151" s="71" t="s">
        <v>132</v>
      </c>
      <c r="F151" s="31" t="s">
        <v>598</v>
      </c>
    </row>
    <row r="152" spans="1:6" x14ac:dyDescent="0.25">
      <c r="B152" s="18" t="s">
        <v>339</v>
      </c>
      <c r="C152" s="51" t="s">
        <v>132</v>
      </c>
      <c r="F152" s="31" t="s">
        <v>343</v>
      </c>
    </row>
    <row r="153" spans="1:6" x14ac:dyDescent="0.25">
      <c r="B153" s="18"/>
      <c r="C153" s="53"/>
      <c r="F153" s="31"/>
    </row>
    <row r="154" spans="1:6" x14ac:dyDescent="0.25">
      <c r="B154" s="18" t="s">
        <v>504</v>
      </c>
      <c r="C154" s="116" t="s">
        <v>132</v>
      </c>
      <c r="F154" s="31" t="s">
        <v>344</v>
      </c>
    </row>
    <row r="155" spans="1:6" x14ac:dyDescent="0.25">
      <c r="B155" s="18"/>
      <c r="C155" s="53"/>
      <c r="F155" s="31"/>
    </row>
    <row r="156" spans="1:6" x14ac:dyDescent="0.25">
      <c r="B156" s="18" t="s">
        <v>505</v>
      </c>
      <c r="C156" s="51" t="s">
        <v>132</v>
      </c>
      <c r="F156" s="31" t="s">
        <v>379</v>
      </c>
    </row>
    <row r="157" spans="1:6" x14ac:dyDescent="0.25">
      <c r="B157" s="18"/>
      <c r="C157" s="53"/>
      <c r="F157" s="31"/>
    </row>
    <row r="158" spans="1:6" x14ac:dyDescent="0.25">
      <c r="B158" s="18" t="s">
        <v>506</v>
      </c>
      <c r="C158" s="51" t="s">
        <v>132</v>
      </c>
      <c r="F158" s="31" t="s">
        <v>380</v>
      </c>
    </row>
    <row r="159" spans="1:6" ht="14.25" thickBot="1" x14ac:dyDescent="0.3">
      <c r="B159" s="18"/>
      <c r="C159" s="53"/>
      <c r="F159" s="31"/>
    </row>
    <row r="160" spans="1:6" ht="14.25" thickBot="1" x14ac:dyDescent="0.3">
      <c r="A160" s="18"/>
      <c r="B160" s="117" t="s">
        <v>382</v>
      </c>
      <c r="C160" s="116" t="s">
        <v>132</v>
      </c>
      <c r="F160" s="31" t="s">
        <v>381</v>
      </c>
    </row>
    <row r="161" spans="1:6" ht="14.25" thickBot="1" x14ac:dyDescent="0.3">
      <c r="B161" s="18"/>
      <c r="C161" s="53"/>
      <c r="F161" s="31"/>
    </row>
    <row r="162" spans="1:6" x14ac:dyDescent="0.25">
      <c r="A162" s="90"/>
      <c r="B162" s="91"/>
      <c r="C162" s="92"/>
      <c r="D162" s="93"/>
      <c r="F162" s="31"/>
    </row>
    <row r="163" spans="1:6" x14ac:dyDescent="0.25">
      <c r="A163" s="94"/>
      <c r="B163" s="20" t="s">
        <v>384</v>
      </c>
      <c r="C163" s="51" t="s">
        <v>132</v>
      </c>
      <c r="D163" s="95"/>
      <c r="F163" s="31" t="s">
        <v>598</v>
      </c>
    </row>
    <row r="164" spans="1:6" x14ac:dyDescent="0.25">
      <c r="A164" s="96"/>
      <c r="B164" s="28" t="s">
        <v>385</v>
      </c>
      <c r="C164" s="52" t="s">
        <v>389</v>
      </c>
      <c r="D164" s="95"/>
    </row>
    <row r="165" spans="1:6" x14ac:dyDescent="0.25">
      <c r="A165" s="94" t="s">
        <v>383</v>
      </c>
      <c r="B165" s="28" t="s">
        <v>387</v>
      </c>
      <c r="C165" s="51" t="s">
        <v>132</v>
      </c>
      <c r="D165" s="95"/>
      <c r="F165" s="31" t="s">
        <v>390</v>
      </c>
    </row>
    <row r="166" spans="1:6" x14ac:dyDescent="0.25">
      <c r="A166" s="96"/>
      <c r="B166" s="50" t="s">
        <v>386</v>
      </c>
      <c r="C166" s="89" t="s">
        <v>137</v>
      </c>
      <c r="D166" s="95"/>
      <c r="F166" s="31"/>
    </row>
    <row r="167" spans="1:6" x14ac:dyDescent="0.25">
      <c r="A167" s="96"/>
      <c r="B167" s="50" t="s">
        <v>388</v>
      </c>
      <c r="C167" s="64" t="s">
        <v>132</v>
      </c>
      <c r="D167" s="95"/>
      <c r="F167" s="31" t="s">
        <v>391</v>
      </c>
    </row>
    <row r="168" spans="1:6" x14ac:dyDescent="0.25">
      <c r="A168" s="96"/>
      <c r="B168" s="28" t="s">
        <v>401</v>
      </c>
      <c r="C168" s="51" t="s">
        <v>399</v>
      </c>
      <c r="D168" s="95"/>
      <c r="F168" s="31"/>
    </row>
    <row r="169" spans="1:6" x14ac:dyDescent="0.25">
      <c r="A169" s="96"/>
      <c r="B169" s="28" t="s">
        <v>601</v>
      </c>
      <c r="C169" s="51" t="s">
        <v>132</v>
      </c>
      <c r="D169" s="95"/>
      <c r="F169" s="31" t="s">
        <v>602</v>
      </c>
    </row>
    <row r="170" spans="1:6" ht="14.25" thickBot="1" x14ac:dyDescent="0.3">
      <c r="A170" s="97"/>
      <c r="B170" s="98"/>
      <c r="C170" s="99"/>
      <c r="D170" s="100"/>
      <c r="F170" s="31"/>
    </row>
    <row r="171" spans="1:6" x14ac:dyDescent="0.25">
      <c r="B171" s="18"/>
      <c r="C171" s="19"/>
      <c r="F171" s="31"/>
    </row>
    <row r="172" spans="1:6" x14ac:dyDescent="0.25">
      <c r="B172" s="18" t="s">
        <v>507</v>
      </c>
      <c r="C172" s="118"/>
      <c r="F172" s="31" t="s">
        <v>603</v>
      </c>
    </row>
    <row r="173" spans="1:6" x14ac:dyDescent="0.25">
      <c r="B173" s="14" t="s">
        <v>508</v>
      </c>
      <c r="C173" s="51" t="s">
        <v>511</v>
      </c>
      <c r="F173" s="31"/>
    </row>
    <row r="174" spans="1:6" x14ac:dyDescent="0.25">
      <c r="B174" s="18" t="s">
        <v>509</v>
      </c>
      <c r="C174" s="52" t="s">
        <v>137</v>
      </c>
      <c r="F174" s="31"/>
    </row>
    <row r="175" spans="1:6" x14ac:dyDescent="0.25">
      <c r="B175" s="14" t="s">
        <v>510</v>
      </c>
      <c r="C175" s="51" t="s">
        <v>511</v>
      </c>
      <c r="F175" s="31"/>
    </row>
    <row r="176" spans="1:6" x14ac:dyDescent="0.25">
      <c r="B176" s="18" t="s">
        <v>393</v>
      </c>
      <c r="C176" s="6" t="s">
        <v>392</v>
      </c>
    </row>
    <row r="177" spans="1:9" x14ac:dyDescent="0.25">
      <c r="B177" s="18" t="s">
        <v>420</v>
      </c>
      <c r="C177" s="6" t="s">
        <v>421</v>
      </c>
    </row>
    <row r="178" spans="1:9" x14ac:dyDescent="0.25">
      <c r="B178" s="18" t="s">
        <v>398</v>
      </c>
      <c r="C178" s="20" t="s">
        <v>394</v>
      </c>
      <c r="F178" s="31" t="s">
        <v>395</v>
      </c>
    </row>
    <row r="179" spans="1:9" x14ac:dyDescent="0.25">
      <c r="C179" s="20" t="s">
        <v>396</v>
      </c>
      <c r="F179" s="31"/>
    </row>
    <row r="180" spans="1:9" x14ac:dyDescent="0.25">
      <c r="C180" s="20" t="s">
        <v>397</v>
      </c>
    </row>
    <row r="181" spans="1:9" x14ac:dyDescent="0.25">
      <c r="C181" s="18"/>
    </row>
    <row r="182" spans="1:9" ht="30" customHeight="1" thickBot="1" x14ac:dyDescent="0.3">
      <c r="A182" s="130" t="s">
        <v>479</v>
      </c>
      <c r="B182" s="131"/>
      <c r="C182" s="131"/>
      <c r="D182" s="131"/>
      <c r="E182" s="131"/>
      <c r="F182" s="131"/>
      <c r="G182" s="131"/>
      <c r="H182" s="131"/>
      <c r="I182" s="131"/>
    </row>
    <row r="183" spans="1:9" ht="18" customHeight="1" thickTop="1" x14ac:dyDescent="0.25">
      <c r="B183"/>
      <c r="C183"/>
      <c r="D183"/>
    </row>
    <row r="184" spans="1:9" ht="18" customHeight="1" x14ac:dyDescent="0.25">
      <c r="B184"/>
      <c r="C184"/>
      <c r="D184"/>
    </row>
    <row r="185" spans="1:9" x14ac:dyDescent="0.25">
      <c r="C185" s="18"/>
    </row>
    <row r="186" spans="1:9" ht="15" customHeight="1" x14ac:dyDescent="0.25">
      <c r="A186" s="80" t="s">
        <v>473</v>
      </c>
      <c r="B186"/>
      <c r="C186"/>
      <c r="D186" s="136" t="s">
        <v>475</v>
      </c>
      <c r="E186" s="137"/>
      <c r="F186" s="107" t="s">
        <v>487</v>
      </c>
      <c r="G186" s="136" t="s">
        <v>476</v>
      </c>
      <c r="H186" s="137"/>
      <c r="I186" s="107" t="s">
        <v>488</v>
      </c>
    </row>
    <row r="187" spans="1:9" ht="23.25" customHeight="1" x14ac:dyDescent="0.25">
      <c r="A187" s="132" t="s">
        <v>474</v>
      </c>
      <c r="B187" s="138"/>
      <c r="C187"/>
      <c r="D187" s="134"/>
      <c r="E187" s="134"/>
      <c r="F187" s="20"/>
      <c r="G187" s="134"/>
      <c r="H187" s="134"/>
      <c r="I187" s="20"/>
    </row>
    <row r="188" spans="1:9" ht="32.25" customHeight="1" x14ac:dyDescent="0.25">
      <c r="A188" s="139"/>
      <c r="B188" s="139"/>
      <c r="C188"/>
      <c r="D188" s="23"/>
      <c r="F188" s="18"/>
      <c r="G188" s="18"/>
      <c r="H188" s="18"/>
      <c r="I188" s="18"/>
    </row>
    <row r="189" spans="1:9" ht="18" customHeight="1" x14ac:dyDescent="0.25">
      <c r="B189"/>
      <c r="C189"/>
      <c r="D189" s="23"/>
      <c r="F189" s="18"/>
      <c r="G189" s="18"/>
      <c r="H189" s="18"/>
      <c r="I189" s="18"/>
    </row>
    <row r="190" spans="1:9" ht="18" customHeight="1" x14ac:dyDescent="0.25">
      <c r="A190" s="102" t="s">
        <v>472</v>
      </c>
      <c r="C190"/>
      <c r="D190" s="136" t="s">
        <v>477</v>
      </c>
      <c r="E190" s="137"/>
      <c r="F190" s="107" t="s">
        <v>487</v>
      </c>
      <c r="G190" s="136" t="s">
        <v>478</v>
      </c>
      <c r="H190" s="137"/>
      <c r="I190" s="107" t="s">
        <v>488</v>
      </c>
    </row>
    <row r="191" spans="1:9" ht="28.5" customHeight="1" x14ac:dyDescent="0.25">
      <c r="A191" s="132" t="s">
        <v>480</v>
      </c>
      <c r="B191" s="132"/>
      <c r="C191"/>
      <c r="D191" s="135"/>
      <c r="E191" s="135"/>
      <c r="F191" s="29"/>
      <c r="G191" s="135"/>
      <c r="H191" s="135"/>
      <c r="I191" s="29"/>
    </row>
    <row r="192" spans="1:9" ht="19.5" customHeight="1" x14ac:dyDescent="0.25">
      <c r="A192" s="133"/>
      <c r="B192" s="133"/>
      <c r="C192"/>
      <c r="D192" s="32"/>
      <c r="E192" s="32"/>
      <c r="G192" s="32"/>
      <c r="H192" s="32"/>
    </row>
    <row r="193" spans="1:11" ht="14.25" customHeight="1" x14ac:dyDescent="0.25">
      <c r="A193" s="41"/>
      <c r="B193" s="41"/>
      <c r="C193"/>
      <c r="D193" s="32"/>
      <c r="E193" s="32"/>
      <c r="G193" s="32"/>
      <c r="H193" s="32"/>
    </row>
    <row r="194" spans="1:11" x14ac:dyDescent="0.25">
      <c r="C194" s="19"/>
    </row>
    <row r="195" spans="1:11" ht="40.5" x14ac:dyDescent="0.25">
      <c r="A195" s="85" t="s">
        <v>481</v>
      </c>
      <c r="B195" s="85" t="s">
        <v>120</v>
      </c>
      <c r="C195" s="87" t="s">
        <v>482</v>
      </c>
      <c r="D195" s="87" t="s">
        <v>483</v>
      </c>
      <c r="E195" s="101" t="s">
        <v>489</v>
      </c>
      <c r="F195" s="30" t="s">
        <v>484</v>
      </c>
      <c r="G195" s="30" t="s">
        <v>485</v>
      </c>
      <c r="H195" s="30" t="s">
        <v>486</v>
      </c>
      <c r="I195" s="30" t="s">
        <v>490</v>
      </c>
      <c r="J195" s="30" t="s">
        <v>491</v>
      </c>
      <c r="K195" s="30" t="s">
        <v>492</v>
      </c>
    </row>
    <row r="196" spans="1:11" x14ac:dyDescent="0.25">
      <c r="A196" s="20" t="s">
        <v>414</v>
      </c>
      <c r="B196" s="104">
        <v>62150</v>
      </c>
      <c r="C196" s="104">
        <v>8400</v>
      </c>
      <c r="D196" s="104">
        <v>0</v>
      </c>
      <c r="E196" s="104">
        <v>5400</v>
      </c>
      <c r="F196" s="104" t="s">
        <v>471</v>
      </c>
      <c r="G196" s="104" t="s">
        <v>471</v>
      </c>
      <c r="H196" s="104" t="s">
        <v>471</v>
      </c>
      <c r="I196" s="104" t="s">
        <v>471</v>
      </c>
      <c r="J196" s="104" t="s">
        <v>471</v>
      </c>
      <c r="K196" s="104" t="s">
        <v>471</v>
      </c>
    </row>
    <row r="197" spans="1:11" ht="27" x14ac:dyDescent="0.25">
      <c r="A197" s="20" t="s">
        <v>415</v>
      </c>
      <c r="B197" s="104">
        <v>40200</v>
      </c>
      <c r="C197" s="104">
        <v>0</v>
      </c>
      <c r="D197" s="104">
        <v>0</v>
      </c>
      <c r="E197" s="104">
        <v>8700</v>
      </c>
      <c r="F197" s="104">
        <f>B197-B196</f>
        <v>-21950</v>
      </c>
      <c r="G197" s="104">
        <f>C197-C196</f>
        <v>-8400</v>
      </c>
      <c r="H197" s="104">
        <f>D197-D196</f>
        <v>0</v>
      </c>
      <c r="I197" s="104">
        <f>E197-E196</f>
        <v>3300</v>
      </c>
      <c r="J197" s="104" t="s">
        <v>89</v>
      </c>
      <c r="K197" s="106" t="s">
        <v>321</v>
      </c>
    </row>
    <row r="198" spans="1:11" x14ac:dyDescent="0.25">
      <c r="A198" s="20" t="s">
        <v>416</v>
      </c>
      <c r="B198" s="103"/>
      <c r="C198" s="104"/>
      <c r="D198" s="103"/>
      <c r="E198" s="29"/>
      <c r="F198" s="104"/>
      <c r="G198" s="104"/>
      <c r="H198" s="104"/>
      <c r="I198" s="88"/>
      <c r="J198" s="88"/>
      <c r="K198" s="88"/>
    </row>
    <row r="199" spans="1:11" x14ac:dyDescent="0.25">
      <c r="A199" s="20" t="s">
        <v>408</v>
      </c>
      <c r="B199" s="103"/>
      <c r="C199" s="104"/>
      <c r="D199" s="103"/>
      <c r="E199" s="29"/>
      <c r="F199" s="104"/>
      <c r="G199" s="104"/>
      <c r="H199" s="104"/>
      <c r="I199" s="88"/>
      <c r="J199" s="88"/>
      <c r="K199" s="88"/>
    </row>
    <row r="200" spans="1:11" x14ac:dyDescent="0.25">
      <c r="A200" s="20" t="s">
        <v>409</v>
      </c>
      <c r="B200" s="103"/>
      <c r="C200" s="104"/>
      <c r="D200" s="103"/>
      <c r="E200" s="29"/>
      <c r="F200" s="104"/>
      <c r="G200" s="104"/>
      <c r="H200" s="104"/>
      <c r="I200" s="88"/>
      <c r="J200" s="88"/>
      <c r="K200" s="88"/>
    </row>
    <row r="201" spans="1:11" x14ac:dyDescent="0.25">
      <c r="A201" s="20" t="s">
        <v>410</v>
      </c>
      <c r="B201" s="103"/>
      <c r="C201" s="104"/>
      <c r="D201" s="103"/>
      <c r="E201" s="29"/>
      <c r="F201" s="104"/>
      <c r="G201" s="104"/>
      <c r="H201" s="104"/>
      <c r="I201" s="88"/>
      <c r="J201" s="88"/>
      <c r="K201" s="88"/>
    </row>
    <row r="202" spans="1:11" x14ac:dyDescent="0.25">
      <c r="A202" s="20" t="s">
        <v>411</v>
      </c>
      <c r="B202" s="103"/>
      <c r="C202" s="104"/>
      <c r="D202" s="103"/>
      <c r="E202" s="29"/>
      <c r="F202" s="104"/>
      <c r="G202" s="104"/>
      <c r="H202" s="104"/>
      <c r="I202" s="88"/>
      <c r="J202" s="88"/>
      <c r="K202" s="88"/>
    </row>
    <row r="203" spans="1:11" x14ac:dyDescent="0.25">
      <c r="A203" s="20" t="s">
        <v>412</v>
      </c>
      <c r="B203" s="103"/>
      <c r="C203" s="104"/>
      <c r="D203" s="103"/>
      <c r="E203" s="29"/>
      <c r="F203" s="104"/>
      <c r="G203" s="104"/>
      <c r="H203" s="104"/>
      <c r="I203" s="88"/>
      <c r="J203" s="88"/>
      <c r="K203" s="88"/>
    </row>
    <row r="204" spans="1:11" x14ac:dyDescent="0.25">
      <c r="C204" s="19"/>
    </row>
    <row r="205" spans="1:11" x14ac:dyDescent="0.25">
      <c r="C205" s="19"/>
    </row>
    <row r="206" spans="1:11" ht="27" x14ac:dyDescent="0.25">
      <c r="A206" s="85" t="s">
        <v>407</v>
      </c>
      <c r="B206" s="86" t="s">
        <v>419</v>
      </c>
      <c r="C206" s="87" t="s">
        <v>417</v>
      </c>
      <c r="D206" s="101" t="s">
        <v>470</v>
      </c>
      <c r="E206" s="85" t="s">
        <v>418</v>
      </c>
      <c r="F206" s="30" t="s">
        <v>459</v>
      </c>
      <c r="G206" s="30" t="s">
        <v>460</v>
      </c>
      <c r="H206" s="30" t="s">
        <v>462</v>
      </c>
      <c r="I206" s="30" t="s">
        <v>467</v>
      </c>
    </row>
    <row r="207" spans="1:11" x14ac:dyDescent="0.25">
      <c r="A207" s="20" t="s">
        <v>415</v>
      </c>
      <c r="B207" s="29" t="s">
        <v>422</v>
      </c>
      <c r="C207" s="6">
        <v>11500</v>
      </c>
      <c r="D207" s="20" t="s">
        <v>471</v>
      </c>
      <c r="E207" s="20" t="s">
        <v>87</v>
      </c>
      <c r="F207" s="88">
        <v>45435</v>
      </c>
      <c r="G207" s="88" t="s">
        <v>461</v>
      </c>
      <c r="H207" s="88" t="s">
        <v>397</v>
      </c>
      <c r="I207" s="88" t="s">
        <v>468</v>
      </c>
    </row>
    <row r="208" spans="1:11" x14ac:dyDescent="0.25">
      <c r="A208" s="20" t="s">
        <v>416</v>
      </c>
      <c r="B208" s="7" t="s">
        <v>458</v>
      </c>
      <c r="C208" s="6">
        <v>2500</v>
      </c>
      <c r="D208" s="6">
        <f>C208-C207</f>
        <v>-9000</v>
      </c>
      <c r="E208" s="20" t="s">
        <v>88</v>
      </c>
      <c r="F208" s="88">
        <v>45800</v>
      </c>
      <c r="G208" s="88" t="s">
        <v>461</v>
      </c>
      <c r="H208" s="88" t="s">
        <v>397</v>
      </c>
      <c r="I208" s="88" t="s">
        <v>468</v>
      </c>
    </row>
    <row r="209" spans="1:9" x14ac:dyDescent="0.25">
      <c r="A209" s="20" t="s">
        <v>408</v>
      </c>
      <c r="B209" s="29"/>
      <c r="C209" s="6"/>
      <c r="D209" s="29"/>
      <c r="E209" s="20" t="s">
        <v>463</v>
      </c>
      <c r="F209" s="88">
        <v>46165</v>
      </c>
      <c r="G209" s="20" t="s">
        <v>469</v>
      </c>
      <c r="H209" s="20" t="s">
        <v>394</v>
      </c>
      <c r="I209" s="88" t="s">
        <v>468</v>
      </c>
    </row>
    <row r="210" spans="1:9" x14ac:dyDescent="0.25">
      <c r="A210" s="20" t="s">
        <v>409</v>
      </c>
      <c r="B210" s="29"/>
      <c r="C210" s="6"/>
      <c r="D210" s="29"/>
      <c r="E210" s="20" t="s">
        <v>404</v>
      </c>
      <c r="F210" s="88">
        <v>46530</v>
      </c>
      <c r="G210" s="20" t="s">
        <v>469</v>
      </c>
      <c r="H210" s="20" t="s">
        <v>394</v>
      </c>
      <c r="I210" s="88" t="s">
        <v>468</v>
      </c>
    </row>
    <row r="211" spans="1:9" x14ac:dyDescent="0.25">
      <c r="A211" s="20" t="s">
        <v>410</v>
      </c>
      <c r="B211" s="29"/>
      <c r="C211" s="6"/>
      <c r="D211" s="29"/>
      <c r="E211" s="20" t="s">
        <v>464</v>
      </c>
      <c r="F211" s="88">
        <v>46896</v>
      </c>
      <c r="G211" s="20" t="s">
        <v>469</v>
      </c>
      <c r="H211" s="20" t="s">
        <v>394</v>
      </c>
      <c r="I211" s="88" t="s">
        <v>468</v>
      </c>
    </row>
    <row r="212" spans="1:9" x14ac:dyDescent="0.25">
      <c r="A212" s="20" t="s">
        <v>411</v>
      </c>
      <c r="B212" s="29"/>
      <c r="C212" s="6"/>
      <c r="D212" s="29"/>
      <c r="E212" s="20" t="s">
        <v>465</v>
      </c>
      <c r="F212" s="88">
        <v>47261</v>
      </c>
      <c r="G212" s="20" t="s">
        <v>469</v>
      </c>
      <c r="H212" s="20" t="s">
        <v>394</v>
      </c>
      <c r="I212" s="88" t="s">
        <v>468</v>
      </c>
    </row>
    <row r="213" spans="1:9" x14ac:dyDescent="0.25">
      <c r="A213" s="20" t="s">
        <v>412</v>
      </c>
      <c r="B213" s="29"/>
      <c r="C213" s="6"/>
      <c r="D213" s="29"/>
      <c r="E213" s="20" t="s">
        <v>405</v>
      </c>
      <c r="F213" s="88">
        <v>47626</v>
      </c>
      <c r="G213" s="20" t="s">
        <v>469</v>
      </c>
      <c r="H213" s="20" t="s">
        <v>394</v>
      </c>
      <c r="I213" s="88" t="s">
        <v>468</v>
      </c>
    </row>
    <row r="214" spans="1:9" x14ac:dyDescent="0.25">
      <c r="A214" s="20" t="s">
        <v>413</v>
      </c>
      <c r="B214" s="29"/>
      <c r="C214" s="6"/>
      <c r="D214" s="29"/>
      <c r="E214" s="20" t="s">
        <v>466</v>
      </c>
      <c r="F214" s="88">
        <v>47991</v>
      </c>
      <c r="G214" s="20" t="s">
        <v>469</v>
      </c>
      <c r="H214" s="20" t="s">
        <v>394</v>
      </c>
      <c r="I214" s="88" t="s">
        <v>468</v>
      </c>
    </row>
    <row r="215" spans="1:9" x14ac:dyDescent="0.25">
      <c r="A215" s="18"/>
      <c r="C215" s="19"/>
      <c r="D215" s="18"/>
    </row>
    <row r="216" spans="1:9" x14ac:dyDescent="0.25">
      <c r="A216" s="18"/>
      <c r="B216" s="122" t="s">
        <v>513</v>
      </c>
      <c r="C216" s="123"/>
      <c r="E216" s="124" t="s">
        <v>512</v>
      </c>
      <c r="F216" s="125"/>
      <c r="G216" s="126"/>
    </row>
    <row r="217" spans="1:9" x14ac:dyDescent="0.25">
      <c r="B217" s="29" t="s">
        <v>422</v>
      </c>
      <c r="C217" s="83" t="b">
        <v>0</v>
      </c>
      <c r="E217" s="120" t="s">
        <v>519</v>
      </c>
      <c r="F217" s="119"/>
      <c r="G217" s="121" t="b">
        <v>0</v>
      </c>
    </row>
    <row r="218" spans="1:9" x14ac:dyDescent="0.25">
      <c r="B218" s="29" t="s">
        <v>423</v>
      </c>
      <c r="C218" s="83" t="b">
        <v>0</v>
      </c>
      <c r="E218" s="120" t="s">
        <v>520</v>
      </c>
      <c r="F218" s="119"/>
      <c r="G218" s="121" t="b">
        <v>0</v>
      </c>
    </row>
    <row r="219" spans="1:9" x14ac:dyDescent="0.25">
      <c r="B219" s="7" t="s">
        <v>425</v>
      </c>
      <c r="C219" s="83" t="b">
        <v>0</v>
      </c>
      <c r="E219" s="120" t="s">
        <v>514</v>
      </c>
      <c r="F219" s="119"/>
      <c r="G219" s="121" t="b">
        <v>0</v>
      </c>
    </row>
    <row r="220" spans="1:9" x14ac:dyDescent="0.25">
      <c r="B220" s="29" t="s">
        <v>426</v>
      </c>
      <c r="C220" s="84" t="b">
        <v>0</v>
      </c>
      <c r="E220" s="120" t="s">
        <v>515</v>
      </c>
      <c r="F220" s="119"/>
      <c r="G220" s="121" t="b">
        <v>0</v>
      </c>
    </row>
    <row r="221" spans="1:9" x14ac:dyDescent="0.25">
      <c r="B221" s="29" t="s">
        <v>424</v>
      </c>
      <c r="C221" s="83" t="b">
        <v>0</v>
      </c>
      <c r="E221" s="120" t="s">
        <v>518</v>
      </c>
      <c r="F221" s="119"/>
      <c r="G221" s="121" t="b">
        <v>0</v>
      </c>
    </row>
    <row r="222" spans="1:9" x14ac:dyDescent="0.25">
      <c r="B222" s="29" t="s">
        <v>427</v>
      </c>
      <c r="C222" s="84" t="b">
        <v>0</v>
      </c>
      <c r="E222" s="120" t="s">
        <v>521</v>
      </c>
      <c r="F222" s="119"/>
      <c r="G222" s="121" t="b">
        <v>0</v>
      </c>
    </row>
    <row r="223" spans="1:9" x14ac:dyDescent="0.25">
      <c r="B223" s="7" t="s">
        <v>428</v>
      </c>
      <c r="C223" s="83" t="b">
        <v>0</v>
      </c>
      <c r="E223" s="120" t="s">
        <v>516</v>
      </c>
      <c r="F223" s="119"/>
      <c r="G223" s="121" t="b">
        <v>0</v>
      </c>
    </row>
    <row r="224" spans="1:9" x14ac:dyDescent="0.25">
      <c r="B224" s="7" t="s">
        <v>429</v>
      </c>
      <c r="C224" s="83" t="b">
        <v>0</v>
      </c>
      <c r="E224" s="120" t="s">
        <v>517</v>
      </c>
      <c r="F224" s="119"/>
      <c r="G224" s="121" t="b">
        <v>0</v>
      </c>
    </row>
    <row r="225" spans="2:7" x14ac:dyDescent="0.25">
      <c r="B225" s="29" t="s">
        <v>430</v>
      </c>
      <c r="C225" s="84" t="b">
        <v>0</v>
      </c>
      <c r="E225" s="120" t="s">
        <v>522</v>
      </c>
      <c r="F225" s="119"/>
      <c r="G225" s="121" t="b">
        <v>0</v>
      </c>
    </row>
    <row r="226" spans="2:7" x14ac:dyDescent="0.25">
      <c r="B226" s="29" t="s">
        <v>431</v>
      </c>
      <c r="C226" s="84" t="b">
        <v>0</v>
      </c>
      <c r="E226" s="120" t="s">
        <v>523</v>
      </c>
      <c r="F226" s="119"/>
      <c r="G226" s="121" t="b">
        <v>0</v>
      </c>
    </row>
    <row r="227" spans="2:7" x14ac:dyDescent="0.25">
      <c r="B227" s="7" t="s">
        <v>432</v>
      </c>
      <c r="C227" s="83" t="b">
        <v>0</v>
      </c>
    </row>
    <row r="228" spans="2:7" x14ac:dyDescent="0.25">
      <c r="B228" s="29" t="s">
        <v>433</v>
      </c>
      <c r="C228" s="83" t="b">
        <v>0</v>
      </c>
    </row>
    <row r="229" spans="2:7" x14ac:dyDescent="0.25">
      <c r="B229" s="29" t="s">
        <v>434</v>
      </c>
      <c r="C229" s="84" t="b">
        <v>0</v>
      </c>
    </row>
    <row r="230" spans="2:7" x14ac:dyDescent="0.25">
      <c r="B230" s="29" t="s">
        <v>435</v>
      </c>
      <c r="C230" s="83" t="b">
        <v>0</v>
      </c>
    </row>
    <row r="231" spans="2:7" x14ac:dyDescent="0.25">
      <c r="B231" s="29" t="s">
        <v>436</v>
      </c>
      <c r="C231" s="84" t="b">
        <v>0</v>
      </c>
    </row>
    <row r="232" spans="2:7" x14ac:dyDescent="0.25">
      <c r="B232" s="29" t="s">
        <v>437</v>
      </c>
      <c r="C232" s="83" t="b">
        <v>0</v>
      </c>
    </row>
    <row r="233" spans="2:7" x14ac:dyDescent="0.25">
      <c r="B233" s="29" t="s">
        <v>438</v>
      </c>
      <c r="C233" s="83" t="b">
        <v>0</v>
      </c>
    </row>
    <row r="234" spans="2:7" x14ac:dyDescent="0.25">
      <c r="B234" s="7" t="s">
        <v>439</v>
      </c>
      <c r="C234" s="83" t="b">
        <v>0</v>
      </c>
    </row>
    <row r="235" spans="2:7" x14ac:dyDescent="0.25">
      <c r="B235" s="29" t="s">
        <v>440</v>
      </c>
      <c r="C235" s="83" t="b">
        <v>0</v>
      </c>
    </row>
    <row r="236" spans="2:7" x14ac:dyDescent="0.25">
      <c r="B236" s="29" t="s">
        <v>441</v>
      </c>
      <c r="C236" s="83" t="b">
        <v>0</v>
      </c>
    </row>
    <row r="237" spans="2:7" x14ac:dyDescent="0.25">
      <c r="B237" s="29" t="s">
        <v>442</v>
      </c>
      <c r="C237" s="83" t="b">
        <v>0</v>
      </c>
    </row>
    <row r="238" spans="2:7" x14ac:dyDescent="0.25">
      <c r="B238" s="7" t="s">
        <v>443</v>
      </c>
      <c r="C238" s="83" t="b">
        <v>0</v>
      </c>
    </row>
    <row r="239" spans="2:7" x14ac:dyDescent="0.25">
      <c r="B239" s="29" t="s">
        <v>444</v>
      </c>
      <c r="C239" s="83" t="b">
        <v>0</v>
      </c>
    </row>
    <row r="240" spans="2:7" x14ac:dyDescent="0.25">
      <c r="B240" s="7" t="s">
        <v>445</v>
      </c>
      <c r="C240" s="83" t="b">
        <v>0</v>
      </c>
    </row>
    <row r="241" spans="2:3" x14ac:dyDescent="0.25">
      <c r="B241" s="29" t="s">
        <v>446</v>
      </c>
      <c r="C241" s="84" t="b">
        <v>0</v>
      </c>
    </row>
    <row r="242" spans="2:3" x14ac:dyDescent="0.25">
      <c r="B242" s="7" t="s">
        <v>447</v>
      </c>
      <c r="C242" s="83" t="b">
        <v>0</v>
      </c>
    </row>
    <row r="243" spans="2:3" x14ac:dyDescent="0.25">
      <c r="B243" s="29" t="s">
        <v>448</v>
      </c>
      <c r="C243" s="84" t="b">
        <v>0</v>
      </c>
    </row>
    <row r="244" spans="2:3" x14ac:dyDescent="0.25">
      <c r="B244" s="29" t="s">
        <v>449</v>
      </c>
      <c r="C244" s="84" t="b">
        <v>0</v>
      </c>
    </row>
    <row r="245" spans="2:3" x14ac:dyDescent="0.25">
      <c r="B245" s="7" t="s">
        <v>450</v>
      </c>
      <c r="C245" s="83" t="b">
        <v>0</v>
      </c>
    </row>
    <row r="246" spans="2:3" x14ac:dyDescent="0.25">
      <c r="B246" s="7" t="s">
        <v>451</v>
      </c>
      <c r="C246" s="83" t="b">
        <v>0</v>
      </c>
    </row>
    <row r="247" spans="2:3" x14ac:dyDescent="0.25">
      <c r="B247" s="29" t="s">
        <v>452</v>
      </c>
      <c r="C247" s="83" t="b">
        <v>0</v>
      </c>
    </row>
    <row r="248" spans="2:3" x14ac:dyDescent="0.25">
      <c r="B248" s="7" t="s">
        <v>453</v>
      </c>
      <c r="C248" s="83" t="b">
        <v>0</v>
      </c>
    </row>
    <row r="249" spans="2:3" x14ac:dyDescent="0.25">
      <c r="B249" s="29" t="s">
        <v>454</v>
      </c>
      <c r="C249" s="83" t="b">
        <v>0</v>
      </c>
    </row>
    <row r="250" spans="2:3" x14ac:dyDescent="0.25">
      <c r="B250" s="29" t="s">
        <v>455</v>
      </c>
      <c r="C250" s="83" t="b">
        <v>0</v>
      </c>
    </row>
    <row r="251" spans="2:3" x14ac:dyDescent="0.25">
      <c r="B251" s="29" t="s">
        <v>456</v>
      </c>
      <c r="C251" s="83" t="b">
        <v>0</v>
      </c>
    </row>
    <row r="252" spans="2:3" x14ac:dyDescent="0.25">
      <c r="B252" s="29" t="s">
        <v>457</v>
      </c>
      <c r="C252" s="83" t="b">
        <v>0</v>
      </c>
    </row>
  </sheetData>
  <mergeCells count="12">
    <mergeCell ref="A138:D138"/>
    <mergeCell ref="A182:I182"/>
    <mergeCell ref="A191:B192"/>
    <mergeCell ref="D187:E187"/>
    <mergeCell ref="G187:H187"/>
    <mergeCell ref="D191:E191"/>
    <mergeCell ref="G191:H191"/>
    <mergeCell ref="G186:H186"/>
    <mergeCell ref="G190:H190"/>
    <mergeCell ref="D186:E186"/>
    <mergeCell ref="D190:E190"/>
    <mergeCell ref="A187:B18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62055-352D-4D95-B2C5-5672009C464E}">
  <dimension ref="B2:T142"/>
  <sheetViews>
    <sheetView tabSelected="1" topLeftCell="D31" workbookViewId="0">
      <selection activeCell="H54" sqref="H54"/>
    </sheetView>
  </sheetViews>
  <sheetFormatPr defaultRowHeight="15" x14ac:dyDescent="0.25"/>
  <cols>
    <col min="1" max="1" width="6.28515625" customWidth="1"/>
    <col min="3" max="3" width="4" customWidth="1"/>
    <col min="4" max="4" width="39.42578125" customWidth="1"/>
    <col min="5" max="5" width="4.85546875" customWidth="1"/>
    <col min="6" max="6" width="80.140625" customWidth="1"/>
    <col min="7" max="12" width="20" customWidth="1"/>
    <col min="14" max="14" width="24.7109375" customWidth="1"/>
    <col min="15" max="15" width="15.7109375" customWidth="1"/>
    <col min="16" max="16" width="16.42578125" customWidth="1"/>
    <col min="17" max="17" width="23.28515625" customWidth="1"/>
    <col min="18" max="18" width="14.7109375" customWidth="1"/>
    <col min="19" max="19" width="17.28515625" customWidth="1"/>
    <col min="20" max="20" width="18.140625" customWidth="1"/>
  </cols>
  <sheetData>
    <row r="2" spans="2:20" ht="30" x14ac:dyDescent="0.25">
      <c r="B2" s="23" t="s">
        <v>126</v>
      </c>
      <c r="D2" t="s">
        <v>92</v>
      </c>
      <c r="F2" s="49" t="s">
        <v>128</v>
      </c>
      <c r="G2" s="45" t="s">
        <v>20</v>
      </c>
      <c r="H2" s="45" t="s">
        <v>21</v>
      </c>
      <c r="I2" s="45" t="s">
        <v>528</v>
      </c>
      <c r="J2" s="45" t="s">
        <v>529</v>
      </c>
      <c r="K2" s="45" t="s">
        <v>530</v>
      </c>
      <c r="L2" s="45" t="s">
        <v>531</v>
      </c>
    </row>
    <row r="3" spans="2:20" ht="30" x14ac:dyDescent="0.25">
      <c r="F3" s="43" t="s">
        <v>92</v>
      </c>
      <c r="G3" s="43">
        <v>1</v>
      </c>
      <c r="H3" s="43">
        <v>2</v>
      </c>
      <c r="I3" s="43">
        <v>3</v>
      </c>
      <c r="J3" s="43">
        <v>4</v>
      </c>
      <c r="K3" s="43">
        <v>5</v>
      </c>
      <c r="L3" s="43">
        <v>6</v>
      </c>
      <c r="N3" s="45" t="s">
        <v>524</v>
      </c>
      <c r="O3" s="45" t="s">
        <v>20</v>
      </c>
      <c r="P3" s="45" t="s">
        <v>21</v>
      </c>
      <c r="Q3" s="45" t="s">
        <v>22</v>
      </c>
      <c r="R3" s="45" t="s">
        <v>23</v>
      </c>
      <c r="S3" s="45" t="s">
        <v>24</v>
      </c>
      <c r="T3" s="45" t="s">
        <v>25</v>
      </c>
    </row>
    <row r="4" spans="2:20" x14ac:dyDescent="0.25">
      <c r="F4" s="43" t="s">
        <v>85</v>
      </c>
      <c r="G4" s="43">
        <v>2</v>
      </c>
      <c r="H4" s="43">
        <v>3</v>
      </c>
      <c r="I4" s="43">
        <v>4</v>
      </c>
      <c r="J4" s="43">
        <v>5</v>
      </c>
      <c r="K4" s="43">
        <v>6</v>
      </c>
      <c r="L4" s="43">
        <v>7</v>
      </c>
      <c r="N4" s="43" t="s">
        <v>92</v>
      </c>
      <c r="O4" s="43">
        <v>1</v>
      </c>
      <c r="P4" s="43">
        <v>2</v>
      </c>
      <c r="Q4" s="43">
        <v>3</v>
      </c>
      <c r="R4" s="43">
        <v>4</v>
      </c>
      <c r="S4" s="43">
        <v>5</v>
      </c>
      <c r="T4" s="43">
        <v>6</v>
      </c>
    </row>
    <row r="5" spans="2:20" x14ac:dyDescent="0.25">
      <c r="N5" s="43" t="s">
        <v>85</v>
      </c>
      <c r="O5" s="43">
        <v>2</v>
      </c>
      <c r="P5" s="43">
        <v>3</v>
      </c>
      <c r="Q5" s="43">
        <v>4</v>
      </c>
      <c r="R5" s="43">
        <v>5</v>
      </c>
      <c r="S5" s="43">
        <v>6</v>
      </c>
      <c r="T5" s="43">
        <v>7</v>
      </c>
    </row>
    <row r="6" spans="2:20" x14ac:dyDescent="0.25">
      <c r="B6" s="23" t="s">
        <v>134</v>
      </c>
      <c r="D6" t="s">
        <v>143</v>
      </c>
      <c r="F6" s="49" t="s">
        <v>92</v>
      </c>
      <c r="G6" s="49">
        <v>1</v>
      </c>
      <c r="H6" s="49">
        <v>2</v>
      </c>
      <c r="I6" s="49">
        <v>3</v>
      </c>
      <c r="J6" s="49">
        <v>4</v>
      </c>
      <c r="K6" s="49">
        <v>5</v>
      </c>
      <c r="L6" s="49">
        <v>6</v>
      </c>
      <c r="N6" s="43" t="s">
        <v>497</v>
      </c>
      <c r="O6" s="65">
        <v>627</v>
      </c>
      <c r="P6" s="65">
        <v>750</v>
      </c>
      <c r="Q6" s="65">
        <v>879</v>
      </c>
      <c r="R6" s="65">
        <v>1000</v>
      </c>
      <c r="S6" s="65">
        <v>1193</v>
      </c>
      <c r="T6" s="65">
        <v>1300</v>
      </c>
    </row>
    <row r="7" spans="2:20" x14ac:dyDescent="0.25">
      <c r="F7" s="54" t="s">
        <v>494</v>
      </c>
      <c r="G7" s="115">
        <v>19000</v>
      </c>
      <c r="H7" s="115">
        <v>19000</v>
      </c>
      <c r="I7" s="115">
        <v>22000</v>
      </c>
      <c r="J7" s="115">
        <v>25000</v>
      </c>
      <c r="K7" s="115">
        <v>28000</v>
      </c>
      <c r="L7" s="115">
        <v>31000</v>
      </c>
      <c r="N7" s="43" t="s">
        <v>498</v>
      </c>
      <c r="O7" s="65">
        <v>670</v>
      </c>
      <c r="P7" s="65">
        <v>810</v>
      </c>
      <c r="Q7" s="65">
        <v>960</v>
      </c>
      <c r="R7" s="65">
        <v>1150</v>
      </c>
      <c r="S7" s="65">
        <v>1329</v>
      </c>
      <c r="T7" s="65">
        <v>1450</v>
      </c>
    </row>
    <row r="8" spans="2:20" x14ac:dyDescent="0.25">
      <c r="N8" s="43" t="s">
        <v>499</v>
      </c>
      <c r="O8" s="65">
        <v>550</v>
      </c>
      <c r="P8" s="65">
        <v>750</v>
      </c>
      <c r="Q8" s="65">
        <v>950</v>
      </c>
      <c r="R8" s="65">
        <v>1150</v>
      </c>
      <c r="S8" s="65">
        <v>1350</v>
      </c>
      <c r="T8" s="65">
        <v>1550</v>
      </c>
    </row>
    <row r="9" spans="2:20" x14ac:dyDescent="0.25">
      <c r="B9" s="23" t="s">
        <v>138</v>
      </c>
      <c r="D9" t="s">
        <v>144</v>
      </c>
      <c r="F9" s="49" t="s">
        <v>92</v>
      </c>
      <c r="G9" s="49">
        <v>1</v>
      </c>
      <c r="H9" s="49">
        <v>2</v>
      </c>
      <c r="I9" s="49">
        <v>3</v>
      </c>
      <c r="J9" s="49">
        <v>4</v>
      </c>
      <c r="K9" s="49">
        <v>5</v>
      </c>
      <c r="L9" s="49">
        <v>6</v>
      </c>
      <c r="N9" s="49" t="s">
        <v>500</v>
      </c>
      <c r="O9" s="114">
        <f>SUM(O4:O8)</f>
        <v>1850</v>
      </c>
      <c r="P9" s="114">
        <f t="shared" ref="P9:T9" si="0">SUM(P4:P8)</f>
        <v>2315</v>
      </c>
      <c r="Q9" s="114">
        <f t="shared" si="0"/>
        <v>2796</v>
      </c>
      <c r="R9" s="114">
        <f t="shared" si="0"/>
        <v>3309</v>
      </c>
      <c r="S9" s="114">
        <f t="shared" si="0"/>
        <v>3883</v>
      </c>
      <c r="T9" s="114">
        <f t="shared" si="0"/>
        <v>4313</v>
      </c>
    </row>
    <row r="10" spans="2:20" x14ac:dyDescent="0.25">
      <c r="F10" s="54" t="s">
        <v>525</v>
      </c>
      <c r="G10" s="54">
        <v>2480</v>
      </c>
      <c r="H10" s="54">
        <f>G10</f>
        <v>2480</v>
      </c>
      <c r="I10" s="54">
        <f>G10</f>
        <v>2480</v>
      </c>
      <c r="J10" s="54">
        <f>G10</f>
        <v>2480</v>
      </c>
      <c r="K10" s="54">
        <f>G10</f>
        <v>2480</v>
      </c>
      <c r="L10" s="54">
        <f>G10</f>
        <v>2480</v>
      </c>
    </row>
    <row r="12" spans="2:20" x14ac:dyDescent="0.25">
      <c r="B12" s="23" t="s">
        <v>145</v>
      </c>
      <c r="D12" t="s">
        <v>156</v>
      </c>
      <c r="F12" s="49" t="s">
        <v>92</v>
      </c>
      <c r="G12" s="49">
        <v>1</v>
      </c>
      <c r="H12" s="49">
        <v>2</v>
      </c>
      <c r="I12" s="49">
        <v>3</v>
      </c>
      <c r="J12" s="49">
        <v>4</v>
      </c>
      <c r="K12" s="49">
        <v>5</v>
      </c>
      <c r="L12" s="49">
        <v>6</v>
      </c>
    </row>
    <row r="13" spans="2:20" x14ac:dyDescent="0.25">
      <c r="F13" s="43" t="s">
        <v>496</v>
      </c>
      <c r="G13" s="57">
        <f>O9</f>
        <v>1850</v>
      </c>
      <c r="H13" s="57">
        <f t="shared" ref="H13:L13" si="1">P9</f>
        <v>2315</v>
      </c>
      <c r="I13" s="57">
        <f t="shared" si="1"/>
        <v>2796</v>
      </c>
      <c r="J13" s="57">
        <f t="shared" si="1"/>
        <v>3309</v>
      </c>
      <c r="K13" s="57">
        <f t="shared" si="1"/>
        <v>3883</v>
      </c>
      <c r="L13" s="57">
        <f t="shared" si="1"/>
        <v>4313</v>
      </c>
    </row>
    <row r="14" spans="2:20" x14ac:dyDescent="0.25">
      <c r="F14" s="43" t="s">
        <v>91</v>
      </c>
      <c r="G14" s="57">
        <f>25*12*1</f>
        <v>300</v>
      </c>
      <c r="H14" s="57">
        <f>25*12*2</f>
        <v>600</v>
      </c>
      <c r="I14" s="57">
        <f t="shared" ref="I14:L14" si="2">25*12*2</f>
        <v>600</v>
      </c>
      <c r="J14" s="57">
        <f t="shared" si="2"/>
        <v>600</v>
      </c>
      <c r="K14" s="57">
        <f t="shared" si="2"/>
        <v>600</v>
      </c>
      <c r="L14" s="57">
        <f t="shared" si="2"/>
        <v>600</v>
      </c>
    </row>
    <row r="15" spans="2:20" x14ac:dyDescent="0.25">
      <c r="F15" s="43" t="s">
        <v>501</v>
      </c>
      <c r="G15" s="57">
        <f t="shared" ref="G15:K15" si="3">5.3*365*G4</f>
        <v>3869</v>
      </c>
      <c r="H15" s="57">
        <f t="shared" si="3"/>
        <v>5803.5</v>
      </c>
      <c r="I15" s="57">
        <f t="shared" si="3"/>
        <v>7738</v>
      </c>
      <c r="J15" s="57">
        <f t="shared" si="3"/>
        <v>9672.5</v>
      </c>
      <c r="K15" s="57">
        <f t="shared" si="3"/>
        <v>11607</v>
      </c>
      <c r="L15" s="57">
        <f>5.3*365*L4</f>
        <v>13541.5</v>
      </c>
    </row>
    <row r="16" spans="2:20" x14ac:dyDescent="0.25">
      <c r="F16" s="43" t="s">
        <v>533</v>
      </c>
      <c r="G16" s="57">
        <f>15*1*52+5*1*52</f>
        <v>1040</v>
      </c>
      <c r="H16" s="57">
        <f>15*52*2+5*52*1</f>
        <v>1820</v>
      </c>
      <c r="I16" s="57">
        <f>15*52*2+5*52*2</f>
        <v>2080</v>
      </c>
      <c r="J16" s="57">
        <f>15*52*2+5*52*3</f>
        <v>2340</v>
      </c>
      <c r="K16" s="57">
        <f>15*52*2+5*52*4</f>
        <v>2600</v>
      </c>
      <c r="L16" s="57">
        <f>15*52*2+5*52*5</f>
        <v>2860</v>
      </c>
    </row>
    <row r="17" spans="2:12" x14ac:dyDescent="0.25">
      <c r="F17" s="43" t="s">
        <v>534</v>
      </c>
      <c r="G17" s="57">
        <f>10*52*1+5*52*1</f>
        <v>780</v>
      </c>
      <c r="H17" s="57">
        <f>10*52*2+5*52*1</f>
        <v>1300</v>
      </c>
      <c r="I17" s="57">
        <f>10*52*2+5*52*2</f>
        <v>1560</v>
      </c>
      <c r="J17" s="57">
        <f>10*52*2+5*52*3</f>
        <v>1820</v>
      </c>
      <c r="K17" s="57">
        <f>10*52*2+5*52*4</f>
        <v>2080</v>
      </c>
      <c r="L17" s="57">
        <f>10*52*2+5*52*5</f>
        <v>2340</v>
      </c>
    </row>
    <row r="18" spans="2:12" x14ac:dyDescent="0.25">
      <c r="F18" s="43" t="s">
        <v>90</v>
      </c>
      <c r="G18" s="57">
        <f>10*52*2</f>
        <v>1040</v>
      </c>
      <c r="H18" s="57">
        <f>10*52*3</f>
        <v>1560</v>
      </c>
      <c r="I18" s="57">
        <f>10*52*4</f>
        <v>2080</v>
      </c>
      <c r="J18" s="57">
        <f>10*52*5</f>
        <v>2600</v>
      </c>
      <c r="K18" s="57">
        <f>10*52*6</f>
        <v>3120</v>
      </c>
      <c r="L18" s="57">
        <f>10*52*7</f>
        <v>3640</v>
      </c>
    </row>
    <row r="19" spans="2:12" x14ac:dyDescent="0.25">
      <c r="F19" s="54" t="s">
        <v>154</v>
      </c>
      <c r="G19" s="58">
        <f>SUM(G13:G18)</f>
        <v>8879</v>
      </c>
      <c r="H19" s="58">
        <f t="shared" ref="H19:L19" si="4">SUM(H13:H18)</f>
        <v>13398.5</v>
      </c>
      <c r="I19" s="58">
        <f t="shared" si="4"/>
        <v>16854</v>
      </c>
      <c r="J19" s="58">
        <f t="shared" si="4"/>
        <v>20341.5</v>
      </c>
      <c r="K19" s="58">
        <f t="shared" si="4"/>
        <v>23890</v>
      </c>
      <c r="L19" s="58">
        <f t="shared" si="4"/>
        <v>27294.5</v>
      </c>
    </row>
    <row r="20" spans="2:12" x14ac:dyDescent="0.25">
      <c r="F20" s="37"/>
      <c r="G20" s="60"/>
      <c r="H20" s="60"/>
      <c r="I20" s="60"/>
      <c r="J20" s="60"/>
      <c r="K20" s="60"/>
      <c r="L20" s="60"/>
    </row>
    <row r="21" spans="2:12" x14ac:dyDescent="0.25">
      <c r="B21" s="23" t="s">
        <v>155</v>
      </c>
      <c r="D21" t="s">
        <v>146</v>
      </c>
      <c r="F21" s="49" t="s">
        <v>92</v>
      </c>
      <c r="G21" s="49">
        <v>1</v>
      </c>
      <c r="H21" s="49">
        <v>2</v>
      </c>
      <c r="I21" s="49">
        <v>3</v>
      </c>
      <c r="J21" s="49">
        <v>4</v>
      </c>
      <c r="K21" s="49">
        <v>5</v>
      </c>
      <c r="L21" s="49">
        <v>6</v>
      </c>
    </row>
    <row r="22" spans="2:12" x14ac:dyDescent="0.25">
      <c r="F22" s="46" t="s">
        <v>502</v>
      </c>
      <c r="G22" s="56">
        <v>3600</v>
      </c>
      <c r="H22" s="56">
        <v>3600</v>
      </c>
      <c r="I22" s="56">
        <v>3600</v>
      </c>
      <c r="J22" s="56">
        <v>3600</v>
      </c>
      <c r="K22" s="56">
        <v>3600</v>
      </c>
      <c r="L22" s="56">
        <v>3600</v>
      </c>
    </row>
    <row r="23" spans="2:12" x14ac:dyDescent="0.25">
      <c r="F23" s="46" t="s">
        <v>503</v>
      </c>
      <c r="G23" s="56">
        <f>1200+600</f>
        <v>1800</v>
      </c>
      <c r="H23" s="56">
        <f>1200*2+600</f>
        <v>3000</v>
      </c>
      <c r="I23" s="56">
        <f>1200*2+600*2</f>
        <v>3600</v>
      </c>
      <c r="J23" s="56">
        <f>1200*2+600*3</f>
        <v>4200</v>
      </c>
      <c r="K23" s="56">
        <f>1200*2+4*600</f>
        <v>4800</v>
      </c>
      <c r="L23" s="56">
        <f>1200*2+5*600</f>
        <v>5400</v>
      </c>
    </row>
    <row r="26" spans="2:12" x14ac:dyDescent="0.25">
      <c r="B26" s="23" t="s">
        <v>162</v>
      </c>
      <c r="D26" t="s">
        <v>164</v>
      </c>
      <c r="F26" s="49" t="s">
        <v>92</v>
      </c>
      <c r="G26" s="49">
        <v>1</v>
      </c>
      <c r="H26" s="49">
        <v>2</v>
      </c>
      <c r="I26" s="49">
        <v>3</v>
      </c>
      <c r="J26" s="49">
        <v>4</v>
      </c>
      <c r="K26" s="49">
        <v>5</v>
      </c>
      <c r="L26" s="49">
        <v>6</v>
      </c>
    </row>
    <row r="27" spans="2:12" x14ac:dyDescent="0.25">
      <c r="B27" s="23"/>
      <c r="F27" s="43" t="s">
        <v>164</v>
      </c>
      <c r="G27" s="56">
        <f>$G$33</f>
        <v>1700</v>
      </c>
      <c r="H27" s="56">
        <f t="shared" ref="H27:L27" si="5">$G$33</f>
        <v>1700</v>
      </c>
      <c r="I27" s="56">
        <f t="shared" si="5"/>
        <v>1700</v>
      </c>
      <c r="J27" s="56">
        <f t="shared" si="5"/>
        <v>1700</v>
      </c>
      <c r="K27" s="56">
        <f t="shared" si="5"/>
        <v>1700</v>
      </c>
      <c r="L27" s="56">
        <f t="shared" si="5"/>
        <v>1700</v>
      </c>
    </row>
    <row r="29" spans="2:12" ht="30" x14ac:dyDescent="0.25">
      <c r="F29" s="62" t="s">
        <v>165</v>
      </c>
      <c r="G29" s="62" t="s">
        <v>166</v>
      </c>
    </row>
    <row r="30" spans="2:12" x14ac:dyDescent="0.25">
      <c r="F30" s="59" t="s">
        <v>532</v>
      </c>
      <c r="G30" s="56">
        <v>275</v>
      </c>
    </row>
    <row r="31" spans="2:12" x14ac:dyDescent="0.25">
      <c r="F31" s="59" t="s">
        <v>526</v>
      </c>
      <c r="G31" s="56">
        <v>825</v>
      </c>
    </row>
    <row r="32" spans="2:12" x14ac:dyDescent="0.25">
      <c r="F32" s="59" t="s">
        <v>527</v>
      </c>
      <c r="G32" s="56">
        <v>600</v>
      </c>
    </row>
    <row r="33" spans="2:12" x14ac:dyDescent="0.25">
      <c r="G33" s="63">
        <f>SUM(G30:G32)</f>
        <v>1700</v>
      </c>
    </row>
    <row r="37" spans="2:12" x14ac:dyDescent="0.25">
      <c r="B37" s="23" t="s">
        <v>168</v>
      </c>
      <c r="D37" t="s">
        <v>179</v>
      </c>
      <c r="F37" s="49" t="s">
        <v>92</v>
      </c>
      <c r="G37" s="49">
        <v>1</v>
      </c>
      <c r="H37" s="49">
        <v>2</v>
      </c>
      <c r="I37" s="49">
        <v>3</v>
      </c>
      <c r="J37" s="49">
        <v>4</v>
      </c>
      <c r="K37" s="49">
        <v>5</v>
      </c>
      <c r="L37" s="49">
        <v>6</v>
      </c>
    </row>
    <row r="38" spans="2:12" x14ac:dyDescent="0.25">
      <c r="F38" s="43" t="s">
        <v>537</v>
      </c>
      <c r="G38" s="56">
        <f>1500*G4</f>
        <v>3000</v>
      </c>
      <c r="H38" s="56">
        <f t="shared" ref="H38:L38" si="6">1500*H4</f>
        <v>4500</v>
      </c>
      <c r="I38" s="56">
        <f t="shared" si="6"/>
        <v>6000</v>
      </c>
      <c r="J38" s="56">
        <f t="shared" si="6"/>
        <v>7500</v>
      </c>
      <c r="K38" s="56">
        <f t="shared" si="6"/>
        <v>9000</v>
      </c>
      <c r="L38" s="56">
        <f t="shared" si="6"/>
        <v>10500</v>
      </c>
    </row>
    <row r="39" spans="2:12" x14ac:dyDescent="0.25">
      <c r="F39" s="43" t="s">
        <v>171</v>
      </c>
      <c r="G39" s="43">
        <v>1</v>
      </c>
      <c r="H39" s="43">
        <v>1</v>
      </c>
      <c r="I39" s="43">
        <v>2</v>
      </c>
      <c r="J39" s="43">
        <v>3</v>
      </c>
      <c r="K39" s="43">
        <v>4</v>
      </c>
      <c r="L39" s="43">
        <v>5</v>
      </c>
    </row>
    <row r="40" spans="2:12" ht="30" x14ac:dyDescent="0.25">
      <c r="F40" s="46" t="s">
        <v>493</v>
      </c>
      <c r="G40" s="65">
        <f>(G7+G19)/2</f>
        <v>13939.5</v>
      </c>
      <c r="H40" s="65">
        <f t="shared" ref="H40:L40" si="7">(H7+H19)/2</f>
        <v>16199.25</v>
      </c>
      <c r="I40" s="65">
        <f t="shared" si="7"/>
        <v>19427</v>
      </c>
      <c r="J40" s="65">
        <f t="shared" si="7"/>
        <v>22670.75</v>
      </c>
      <c r="K40" s="65">
        <f t="shared" si="7"/>
        <v>25945</v>
      </c>
      <c r="L40" s="65">
        <f t="shared" si="7"/>
        <v>29147.25</v>
      </c>
    </row>
    <row r="41" spans="2:12" x14ac:dyDescent="0.25">
      <c r="F41" s="43" t="s">
        <v>181</v>
      </c>
      <c r="G41" s="65">
        <v>13500</v>
      </c>
      <c r="H41" s="65">
        <v>16000</v>
      </c>
      <c r="I41" s="65">
        <v>19000</v>
      </c>
      <c r="J41" s="65">
        <v>22000</v>
      </c>
      <c r="K41" s="65">
        <v>25500</v>
      </c>
      <c r="L41" s="65">
        <v>28500</v>
      </c>
    </row>
    <row r="44" spans="2:12" ht="15.75" thickBot="1" x14ac:dyDescent="0.3"/>
    <row r="45" spans="2:12" x14ac:dyDescent="0.25">
      <c r="B45" t="s">
        <v>273</v>
      </c>
      <c r="D45" t="s">
        <v>345</v>
      </c>
      <c r="F45" s="37" t="s">
        <v>346</v>
      </c>
      <c r="G45" s="82">
        <v>32600</v>
      </c>
      <c r="H45" s="23"/>
      <c r="I45" s="23"/>
      <c r="J45" s="23"/>
      <c r="K45" s="23"/>
      <c r="L45" s="23"/>
    </row>
    <row r="46" spans="2:12" x14ac:dyDescent="0.25">
      <c r="F46" s="49" t="s">
        <v>125</v>
      </c>
      <c r="G46" s="49">
        <v>1</v>
      </c>
      <c r="H46" s="49">
        <v>2</v>
      </c>
      <c r="I46" s="49">
        <v>3</v>
      </c>
      <c r="J46" s="49">
        <v>4</v>
      </c>
      <c r="K46" s="49">
        <v>5</v>
      </c>
      <c r="L46" s="49">
        <v>6</v>
      </c>
    </row>
    <row r="47" spans="2:12" x14ac:dyDescent="0.25">
      <c r="G47" s="35">
        <f>G7+G10+G19+G23+G27+G22</f>
        <v>37459</v>
      </c>
      <c r="H47" s="35">
        <f t="shared" ref="H47:L47" si="8">H7+H10+H19+H23+H27+H22</f>
        <v>43178.5</v>
      </c>
      <c r="I47" s="35">
        <f t="shared" si="8"/>
        <v>50234</v>
      </c>
      <c r="J47" s="35">
        <f t="shared" si="8"/>
        <v>57321.5</v>
      </c>
      <c r="K47" s="35">
        <f t="shared" si="8"/>
        <v>64470</v>
      </c>
      <c r="L47" s="35">
        <f t="shared" si="8"/>
        <v>71474.5</v>
      </c>
    </row>
    <row r="48" spans="2:12" x14ac:dyDescent="0.25">
      <c r="G48" s="35">
        <f>G38</f>
        <v>3000</v>
      </c>
      <c r="H48" s="35">
        <f t="shared" ref="H48:L48" si="9">H38</f>
        <v>4500</v>
      </c>
      <c r="I48" s="35">
        <f t="shared" si="9"/>
        <v>6000</v>
      </c>
      <c r="J48" s="35">
        <f t="shared" si="9"/>
        <v>7500</v>
      </c>
      <c r="K48" s="35">
        <f t="shared" si="9"/>
        <v>9000</v>
      </c>
      <c r="L48" s="35">
        <f t="shared" si="9"/>
        <v>10500</v>
      </c>
    </row>
    <row r="49" spans="6:12" x14ac:dyDescent="0.25">
      <c r="F49" s="54" t="s">
        <v>378</v>
      </c>
      <c r="G49" s="55">
        <f>$G$45-G47-G48</f>
        <v>-7859</v>
      </c>
      <c r="H49" s="55">
        <f t="shared" ref="H49:L49" si="10">$G$45-H47-H48</f>
        <v>-15078.5</v>
      </c>
      <c r="I49" s="55">
        <f t="shared" si="10"/>
        <v>-23634</v>
      </c>
      <c r="J49" s="55">
        <f t="shared" si="10"/>
        <v>-32221.5</v>
      </c>
      <c r="K49" s="55">
        <f t="shared" si="10"/>
        <v>-40870</v>
      </c>
      <c r="L49" s="55">
        <f t="shared" si="10"/>
        <v>-49374.5</v>
      </c>
    </row>
    <row r="50" spans="6:12" x14ac:dyDescent="0.25">
      <c r="F50" s="59"/>
      <c r="G50" s="108">
        <f>G49/$G$45</f>
        <v>-0.24107361963190185</v>
      </c>
      <c r="H50" s="108">
        <f t="shared" ref="H50:L50" si="11">H49/$G$45</f>
        <v>-0.46253067484662574</v>
      </c>
      <c r="I50" s="108">
        <f t="shared" si="11"/>
        <v>-0.7249693251533742</v>
      </c>
      <c r="J50" s="108">
        <f t="shared" si="11"/>
        <v>-0.98838957055214727</v>
      </c>
      <c r="K50" s="108">
        <f t="shared" si="11"/>
        <v>-1.253680981595092</v>
      </c>
      <c r="L50" s="108">
        <f t="shared" si="11"/>
        <v>-1.5145552147239263</v>
      </c>
    </row>
    <row r="51" spans="6:12" x14ac:dyDescent="0.25">
      <c r="G51" s="36">
        <v>0</v>
      </c>
      <c r="H51" s="109">
        <f>G51-0.005</f>
        <v>-5.0000000000000001E-3</v>
      </c>
      <c r="I51" s="110">
        <f>G51-0.01</f>
        <v>-0.01</v>
      </c>
      <c r="J51" s="110">
        <f>G51-0.015</f>
        <v>-1.4999999999999999E-2</v>
      </c>
      <c r="K51" s="109">
        <f>G51-0.02</f>
        <v>-0.02</v>
      </c>
      <c r="L51" s="109">
        <f>G51-0.025</f>
        <v>-2.5000000000000001E-2</v>
      </c>
    </row>
    <row r="52" spans="6:12" x14ac:dyDescent="0.25">
      <c r="F52" s="33" t="s">
        <v>347</v>
      </c>
      <c r="G52" s="81">
        <f>$G$45*G51</f>
        <v>0</v>
      </c>
      <c r="H52" s="112">
        <f t="shared" ref="H52:L52" si="12">$G$45*H51</f>
        <v>-163</v>
      </c>
      <c r="I52" s="112">
        <f t="shared" si="12"/>
        <v>-326</v>
      </c>
      <c r="J52" s="112">
        <f t="shared" si="12"/>
        <v>-489</v>
      </c>
      <c r="K52" s="112">
        <f t="shared" si="12"/>
        <v>-652</v>
      </c>
      <c r="L52" s="112">
        <f t="shared" si="12"/>
        <v>-815</v>
      </c>
    </row>
    <row r="53" spans="6:12" x14ac:dyDescent="0.25">
      <c r="F53" s="33"/>
      <c r="G53" s="81"/>
      <c r="H53" s="81"/>
      <c r="I53" s="81"/>
      <c r="J53" s="81"/>
      <c r="K53" s="81"/>
      <c r="L53" s="81"/>
    </row>
    <row r="54" spans="6:12" x14ac:dyDescent="0.25">
      <c r="G54" s="36">
        <v>0.01</v>
      </c>
      <c r="H54" s="113">
        <f>G54-0.005</f>
        <v>5.0000000000000001E-3</v>
      </c>
      <c r="I54" s="36">
        <f>G54-0.01</f>
        <v>0</v>
      </c>
      <c r="J54" s="110">
        <f>G54-0.015</f>
        <v>-4.9999999999999992E-3</v>
      </c>
      <c r="K54" s="109">
        <f>G54-0.02</f>
        <v>-0.01</v>
      </c>
      <c r="L54" s="109">
        <f>G54-0.025</f>
        <v>-1.5000000000000001E-2</v>
      </c>
    </row>
    <row r="55" spans="6:12" x14ac:dyDescent="0.25">
      <c r="F55" s="33" t="s">
        <v>348</v>
      </c>
      <c r="G55" s="81">
        <f>$G$45*G54</f>
        <v>326</v>
      </c>
      <c r="H55" s="81">
        <f t="shared" ref="H55" si="13">$G$45*H54</f>
        <v>163</v>
      </c>
      <c r="I55" s="81">
        <f t="shared" ref="I55" si="14">$G$45*I54</f>
        <v>0</v>
      </c>
      <c r="J55" s="112">
        <f t="shared" ref="J55" si="15">$G$45*J54</f>
        <v>-162.99999999999997</v>
      </c>
      <c r="K55" s="111">
        <f t="shared" ref="K55" si="16">$G$45*K54</f>
        <v>-326</v>
      </c>
      <c r="L55" s="111">
        <f t="shared" ref="L55" si="17">$G$45*L54</f>
        <v>-489.00000000000006</v>
      </c>
    </row>
    <row r="56" spans="6:12" x14ac:dyDescent="0.25">
      <c r="F56" s="33"/>
      <c r="G56" s="81"/>
      <c r="H56" s="81"/>
      <c r="I56" s="81"/>
      <c r="J56" s="81"/>
      <c r="K56" s="81"/>
      <c r="L56" s="81"/>
    </row>
    <row r="57" spans="6:12" x14ac:dyDescent="0.25">
      <c r="G57" s="36">
        <v>0.02</v>
      </c>
      <c r="H57" s="113">
        <f>G57-0.005</f>
        <v>1.4999999999999999E-2</v>
      </c>
      <c r="I57" s="36">
        <f>G57-0.01</f>
        <v>0.01</v>
      </c>
      <c r="J57" s="36">
        <f>G57-0.015</f>
        <v>5.000000000000001E-3</v>
      </c>
      <c r="K57" s="113">
        <f>G57-0.02</f>
        <v>0</v>
      </c>
      <c r="L57" s="113">
        <f>G57-0.025</f>
        <v>-5.000000000000001E-3</v>
      </c>
    </row>
    <row r="58" spans="6:12" x14ac:dyDescent="0.25">
      <c r="F58" s="33" t="s">
        <v>349</v>
      </c>
      <c r="G58" s="81">
        <f>$G$45*G57</f>
        <v>652</v>
      </c>
      <c r="H58" s="81">
        <f t="shared" ref="H58:L58" si="18">$G$45*H57</f>
        <v>489</v>
      </c>
      <c r="I58" s="81">
        <f t="shared" si="18"/>
        <v>326</v>
      </c>
      <c r="J58" s="81">
        <f t="shared" si="18"/>
        <v>163.00000000000003</v>
      </c>
      <c r="K58" s="81">
        <f t="shared" si="18"/>
        <v>0</v>
      </c>
      <c r="L58" s="81">
        <f t="shared" si="18"/>
        <v>-163.00000000000003</v>
      </c>
    </row>
    <row r="59" spans="6:12" x14ac:dyDescent="0.25">
      <c r="F59" s="33"/>
      <c r="G59" s="81"/>
      <c r="H59" s="81"/>
      <c r="I59" s="81"/>
      <c r="J59" s="81"/>
      <c r="K59" s="81"/>
      <c r="L59" s="81"/>
    </row>
    <row r="60" spans="6:12" x14ac:dyDescent="0.25">
      <c r="G60" s="36">
        <v>0.03</v>
      </c>
      <c r="H60" s="113">
        <f>G60-0.005</f>
        <v>2.4999999999999998E-2</v>
      </c>
      <c r="I60" s="36">
        <f>G60-0.01</f>
        <v>1.9999999999999997E-2</v>
      </c>
      <c r="J60" s="36">
        <f>G60-0.015</f>
        <v>1.4999999999999999E-2</v>
      </c>
      <c r="K60" s="113">
        <f>G60-0.02</f>
        <v>9.9999999999999985E-3</v>
      </c>
      <c r="L60" s="113">
        <f>G60-0.025</f>
        <v>4.9999999999999975E-3</v>
      </c>
    </row>
    <row r="61" spans="6:12" x14ac:dyDescent="0.25">
      <c r="F61" s="33" t="s">
        <v>350</v>
      </c>
      <c r="G61" s="81">
        <f>$G$45*G60</f>
        <v>978</v>
      </c>
      <c r="H61" s="81">
        <f t="shared" ref="H61:L61" si="19">$G$45*H60</f>
        <v>814.99999999999989</v>
      </c>
      <c r="I61" s="81">
        <f t="shared" si="19"/>
        <v>651.99999999999989</v>
      </c>
      <c r="J61" s="81">
        <f t="shared" si="19"/>
        <v>489</v>
      </c>
      <c r="K61" s="81">
        <f t="shared" si="19"/>
        <v>325.99999999999994</v>
      </c>
      <c r="L61" s="81">
        <f t="shared" si="19"/>
        <v>162.99999999999991</v>
      </c>
    </row>
    <row r="62" spans="6:12" x14ac:dyDescent="0.25">
      <c r="F62" s="33"/>
      <c r="G62" s="81"/>
      <c r="H62" s="81"/>
      <c r="I62" s="81"/>
      <c r="J62" s="81"/>
      <c r="K62" s="81"/>
      <c r="L62" s="81"/>
    </row>
    <row r="63" spans="6:12" x14ac:dyDescent="0.25">
      <c r="G63" s="36">
        <v>0.04</v>
      </c>
      <c r="H63" s="113">
        <f>G63-0.005</f>
        <v>3.5000000000000003E-2</v>
      </c>
      <c r="I63" s="36">
        <f>G63-0.01</f>
        <v>0.03</v>
      </c>
      <c r="J63" s="36">
        <f>G63-0.015</f>
        <v>2.5000000000000001E-2</v>
      </c>
      <c r="K63" s="113">
        <f>G63-0.02</f>
        <v>0.02</v>
      </c>
      <c r="L63" s="113">
        <f>G63-0.025</f>
        <v>1.4999999999999999E-2</v>
      </c>
    </row>
    <row r="64" spans="6:12" x14ac:dyDescent="0.25">
      <c r="F64" s="33" t="s">
        <v>372</v>
      </c>
      <c r="G64" s="81">
        <f>$G$45*G63</f>
        <v>1304</v>
      </c>
      <c r="H64" s="81">
        <f t="shared" ref="H64:L64" si="20">$G$45*H63</f>
        <v>1141</v>
      </c>
      <c r="I64" s="81">
        <f t="shared" si="20"/>
        <v>978</v>
      </c>
      <c r="J64" s="81">
        <f t="shared" si="20"/>
        <v>815</v>
      </c>
      <c r="K64" s="81">
        <f t="shared" si="20"/>
        <v>652</v>
      </c>
      <c r="L64" s="81">
        <f t="shared" si="20"/>
        <v>489</v>
      </c>
    </row>
    <row r="65" spans="6:12" x14ac:dyDescent="0.25">
      <c r="F65" s="33"/>
      <c r="G65" s="81"/>
      <c r="H65" s="81"/>
      <c r="I65" s="81"/>
      <c r="J65" s="81"/>
      <c r="K65" s="81"/>
      <c r="L65" s="81"/>
    </row>
    <row r="66" spans="6:12" x14ac:dyDescent="0.25">
      <c r="G66" s="34">
        <v>0.05</v>
      </c>
      <c r="H66" s="113">
        <f>G66-0.005</f>
        <v>4.5000000000000005E-2</v>
      </c>
      <c r="I66" s="36">
        <f>G66-0.01</f>
        <v>0.04</v>
      </c>
      <c r="J66" s="36">
        <f>G66-0.015</f>
        <v>3.5000000000000003E-2</v>
      </c>
      <c r="K66" s="113">
        <f>G66-0.02</f>
        <v>3.0000000000000002E-2</v>
      </c>
      <c r="L66" s="113">
        <f>G66-0.025</f>
        <v>2.5000000000000001E-2</v>
      </c>
    </row>
    <row r="67" spans="6:12" x14ac:dyDescent="0.25">
      <c r="F67" s="33" t="s">
        <v>373</v>
      </c>
      <c r="G67" s="81">
        <f>$G$45*G66</f>
        <v>1630</v>
      </c>
      <c r="H67" s="81">
        <f t="shared" ref="H67" si="21">$G$45*H66</f>
        <v>1467.0000000000002</v>
      </c>
      <c r="I67" s="81">
        <f t="shared" ref="I67" si="22">$G$45*I66</f>
        <v>1304</v>
      </c>
      <c r="J67" s="81">
        <f t="shared" ref="J67" si="23">$G$45*J66</f>
        <v>1141</v>
      </c>
      <c r="K67" s="81">
        <f t="shared" ref="K67" si="24">$G$45*K66</f>
        <v>978.00000000000011</v>
      </c>
      <c r="L67" s="81">
        <f t="shared" ref="L67" si="25">$G$45*L66</f>
        <v>815</v>
      </c>
    </row>
    <row r="68" spans="6:12" x14ac:dyDescent="0.25">
      <c r="F68" s="33"/>
      <c r="G68" s="81"/>
      <c r="H68" s="81"/>
      <c r="I68" s="81"/>
      <c r="J68" s="81"/>
      <c r="K68" s="81"/>
      <c r="L68" s="81"/>
    </row>
    <row r="69" spans="6:12" x14ac:dyDescent="0.25">
      <c r="G69" s="34">
        <v>0.06</v>
      </c>
      <c r="H69" s="113">
        <f>G69-0.005</f>
        <v>5.5E-2</v>
      </c>
      <c r="I69" s="36">
        <f>G69-0.01</f>
        <v>4.9999999999999996E-2</v>
      </c>
      <c r="J69" s="36">
        <f>G69-0.015</f>
        <v>4.4999999999999998E-2</v>
      </c>
      <c r="K69" s="113">
        <f>G69-0.02</f>
        <v>3.9999999999999994E-2</v>
      </c>
      <c r="L69" s="113">
        <f>G69-0.025</f>
        <v>3.4999999999999996E-2</v>
      </c>
    </row>
    <row r="70" spans="6:12" x14ac:dyDescent="0.25">
      <c r="F70" s="33" t="s">
        <v>374</v>
      </c>
      <c r="G70" s="81">
        <f>$G$45*G69</f>
        <v>1956</v>
      </c>
      <c r="H70" s="81">
        <f t="shared" ref="H70:L70" si="26">$G$45*H69</f>
        <v>1793</v>
      </c>
      <c r="I70" s="81">
        <f t="shared" si="26"/>
        <v>1629.9999999999998</v>
      </c>
      <c r="J70" s="81">
        <f t="shared" si="26"/>
        <v>1467</v>
      </c>
      <c r="K70" s="81">
        <f t="shared" si="26"/>
        <v>1303.9999999999998</v>
      </c>
      <c r="L70" s="81">
        <f t="shared" si="26"/>
        <v>1140.9999999999998</v>
      </c>
    </row>
    <row r="71" spans="6:12" x14ac:dyDescent="0.25">
      <c r="F71" s="33"/>
      <c r="G71" s="81"/>
      <c r="H71" s="81"/>
      <c r="I71" s="81"/>
      <c r="J71" s="81"/>
      <c r="K71" s="81"/>
      <c r="L71" s="81"/>
    </row>
    <row r="72" spans="6:12" x14ac:dyDescent="0.25">
      <c r="G72" s="34">
        <v>7.0000000000000007E-2</v>
      </c>
      <c r="H72" s="113">
        <f>G72-0.005</f>
        <v>6.5000000000000002E-2</v>
      </c>
      <c r="I72" s="36">
        <f>G72-0.01</f>
        <v>6.0000000000000005E-2</v>
      </c>
      <c r="J72" s="36">
        <f>G72-0.015</f>
        <v>5.5000000000000007E-2</v>
      </c>
      <c r="K72" s="113">
        <f>G72-0.02</f>
        <v>0.05</v>
      </c>
      <c r="L72" s="113">
        <f>G72-0.025</f>
        <v>4.5000000000000005E-2</v>
      </c>
    </row>
    <row r="73" spans="6:12" x14ac:dyDescent="0.25">
      <c r="F73" s="33" t="s">
        <v>375</v>
      </c>
      <c r="G73" s="81">
        <f>$G$45*G72</f>
        <v>2282</v>
      </c>
      <c r="H73" s="81">
        <f t="shared" ref="H73:L73" si="27">$G$45*H72</f>
        <v>2119</v>
      </c>
      <c r="I73" s="81">
        <f t="shared" si="27"/>
        <v>1956.0000000000002</v>
      </c>
      <c r="J73" s="81">
        <f t="shared" si="27"/>
        <v>1793.0000000000002</v>
      </c>
      <c r="K73" s="81">
        <f t="shared" si="27"/>
        <v>1630</v>
      </c>
      <c r="L73" s="81">
        <f t="shared" si="27"/>
        <v>1467.0000000000002</v>
      </c>
    </row>
    <row r="74" spans="6:12" x14ac:dyDescent="0.25">
      <c r="F74" s="33"/>
      <c r="G74" s="81"/>
      <c r="H74" s="81"/>
      <c r="I74" s="81"/>
      <c r="J74" s="81"/>
      <c r="K74" s="81"/>
      <c r="L74" s="81"/>
    </row>
    <row r="75" spans="6:12" x14ac:dyDescent="0.25">
      <c r="G75" s="34">
        <v>0.08</v>
      </c>
      <c r="H75" s="113">
        <f>G75-0.005</f>
        <v>7.4999999999999997E-2</v>
      </c>
      <c r="I75" s="36">
        <f>G75-0.01</f>
        <v>7.0000000000000007E-2</v>
      </c>
      <c r="J75" s="36">
        <f>G75-0.015</f>
        <v>6.5000000000000002E-2</v>
      </c>
      <c r="K75" s="113">
        <f>G75-0.02</f>
        <v>0.06</v>
      </c>
      <c r="L75" s="113">
        <f>G75-0.025</f>
        <v>5.5E-2</v>
      </c>
    </row>
    <row r="76" spans="6:12" x14ac:dyDescent="0.25">
      <c r="F76" s="33" t="s">
        <v>351</v>
      </c>
      <c r="G76" s="81">
        <f>$G$45*G75</f>
        <v>2608</v>
      </c>
      <c r="H76" s="81">
        <f t="shared" ref="H76:L76" si="28">$G$45*H75</f>
        <v>2445</v>
      </c>
      <c r="I76" s="81">
        <f t="shared" si="28"/>
        <v>2282</v>
      </c>
      <c r="J76" s="81">
        <f t="shared" si="28"/>
        <v>2119</v>
      </c>
      <c r="K76" s="81">
        <f t="shared" si="28"/>
        <v>1956</v>
      </c>
      <c r="L76" s="81">
        <f t="shared" si="28"/>
        <v>1793</v>
      </c>
    </row>
    <row r="77" spans="6:12" x14ac:dyDescent="0.25">
      <c r="F77" s="33"/>
      <c r="G77" s="81"/>
      <c r="H77" s="81"/>
      <c r="I77" s="81"/>
      <c r="J77" s="81"/>
      <c r="K77" s="81"/>
      <c r="L77" s="81"/>
    </row>
    <row r="78" spans="6:12" x14ac:dyDescent="0.25">
      <c r="G78" s="34">
        <v>0.09</v>
      </c>
      <c r="H78" s="113">
        <f>G78-0.005</f>
        <v>8.4999999999999992E-2</v>
      </c>
      <c r="I78" s="36">
        <f>G78-0.01</f>
        <v>0.08</v>
      </c>
      <c r="J78" s="36">
        <f>G78-0.015</f>
        <v>7.4999999999999997E-2</v>
      </c>
      <c r="K78" s="113">
        <f>G78-0.02</f>
        <v>6.9999999999999993E-2</v>
      </c>
      <c r="L78" s="113">
        <f>G78-0.025</f>
        <v>6.5000000000000002E-2</v>
      </c>
    </row>
    <row r="79" spans="6:12" x14ac:dyDescent="0.25">
      <c r="F79" s="33" t="s">
        <v>352</v>
      </c>
      <c r="G79" s="81">
        <f>$G$45*G78</f>
        <v>2934</v>
      </c>
      <c r="H79" s="81">
        <f t="shared" ref="H79:L79" si="29">$G$45*H78</f>
        <v>2770.9999999999995</v>
      </c>
      <c r="I79" s="81">
        <f t="shared" si="29"/>
        <v>2608</v>
      </c>
      <c r="J79" s="81">
        <f t="shared" si="29"/>
        <v>2445</v>
      </c>
      <c r="K79" s="81">
        <f t="shared" si="29"/>
        <v>2281.9999999999995</v>
      </c>
      <c r="L79" s="81">
        <f t="shared" si="29"/>
        <v>2119</v>
      </c>
    </row>
    <row r="80" spans="6:12" x14ac:dyDescent="0.25">
      <c r="F80" s="33"/>
      <c r="G80" s="81"/>
      <c r="H80" s="81"/>
      <c r="I80" s="81"/>
      <c r="J80" s="81"/>
      <c r="K80" s="81"/>
      <c r="L80" s="81"/>
    </row>
    <row r="81" spans="6:12" x14ac:dyDescent="0.25">
      <c r="G81" s="34">
        <v>0.1</v>
      </c>
      <c r="H81" s="113">
        <f>G81-0.005</f>
        <v>9.5000000000000001E-2</v>
      </c>
      <c r="I81" s="36">
        <f>G81-0.01</f>
        <v>9.0000000000000011E-2</v>
      </c>
      <c r="J81" s="36">
        <f>G81-0.015</f>
        <v>8.5000000000000006E-2</v>
      </c>
      <c r="K81" s="113">
        <f>G81-0.02</f>
        <v>0.08</v>
      </c>
      <c r="L81" s="113">
        <f>G81-0.025</f>
        <v>7.5000000000000011E-2</v>
      </c>
    </row>
    <row r="82" spans="6:12" x14ac:dyDescent="0.25">
      <c r="F82" s="33" t="s">
        <v>353</v>
      </c>
      <c r="G82" s="81">
        <f>$G$45*G81</f>
        <v>3260</v>
      </c>
      <c r="H82" s="81">
        <f t="shared" ref="H82:L82" si="30">$G$45*H81</f>
        <v>3097</v>
      </c>
      <c r="I82" s="81">
        <f t="shared" si="30"/>
        <v>2934.0000000000005</v>
      </c>
      <c r="J82" s="81">
        <f t="shared" si="30"/>
        <v>2771</v>
      </c>
      <c r="K82" s="81">
        <f t="shared" si="30"/>
        <v>2608</v>
      </c>
      <c r="L82" s="81">
        <f t="shared" si="30"/>
        <v>2445.0000000000005</v>
      </c>
    </row>
    <row r="83" spans="6:12" x14ac:dyDescent="0.25">
      <c r="F83" s="33"/>
      <c r="G83" s="81"/>
      <c r="H83" s="81"/>
      <c r="I83" s="81"/>
      <c r="J83" s="81"/>
      <c r="K83" s="81"/>
      <c r="L83" s="81"/>
    </row>
    <row r="84" spans="6:12" x14ac:dyDescent="0.25">
      <c r="G84" s="34">
        <v>0.11</v>
      </c>
      <c r="H84" s="113">
        <f>G84-0.005</f>
        <v>0.105</v>
      </c>
      <c r="I84" s="36">
        <f>G84-0.01</f>
        <v>0.1</v>
      </c>
      <c r="J84" s="36">
        <f>G84-0.015</f>
        <v>9.5000000000000001E-2</v>
      </c>
      <c r="K84" s="113">
        <f>G84-0.02</f>
        <v>0.09</v>
      </c>
      <c r="L84" s="113">
        <f>G84-0.025</f>
        <v>8.4999999999999992E-2</v>
      </c>
    </row>
    <row r="85" spans="6:12" x14ac:dyDescent="0.25">
      <c r="F85" s="33" t="s">
        <v>354</v>
      </c>
      <c r="G85" s="81">
        <f>$G$45*G84</f>
        <v>3586</v>
      </c>
      <c r="H85" s="81">
        <f t="shared" ref="H85:L85" si="31">$G$45*H84</f>
        <v>3423</v>
      </c>
      <c r="I85" s="81">
        <f t="shared" si="31"/>
        <v>3260</v>
      </c>
      <c r="J85" s="81">
        <f t="shared" si="31"/>
        <v>3097</v>
      </c>
      <c r="K85" s="81">
        <f t="shared" si="31"/>
        <v>2934</v>
      </c>
      <c r="L85" s="81">
        <f t="shared" si="31"/>
        <v>2770.9999999999995</v>
      </c>
    </row>
    <row r="86" spans="6:12" x14ac:dyDescent="0.25">
      <c r="F86" s="33"/>
      <c r="G86" s="81"/>
      <c r="H86" s="81"/>
      <c r="I86" s="81"/>
      <c r="J86" s="81"/>
      <c r="K86" s="81"/>
      <c r="L86" s="81"/>
    </row>
    <row r="87" spans="6:12" x14ac:dyDescent="0.25">
      <c r="G87" s="34">
        <v>0.12</v>
      </c>
      <c r="H87" s="113">
        <f>G87-0.005</f>
        <v>0.11499999999999999</v>
      </c>
      <c r="I87" s="36">
        <f>G87-0.01</f>
        <v>0.11</v>
      </c>
      <c r="J87" s="36">
        <f>G87-0.015</f>
        <v>0.105</v>
      </c>
      <c r="K87" s="113">
        <f>G87-0.02</f>
        <v>9.9999999999999992E-2</v>
      </c>
      <c r="L87" s="113">
        <f>G87-0.025</f>
        <v>9.5000000000000001E-2</v>
      </c>
    </row>
    <row r="88" spans="6:12" x14ac:dyDescent="0.25">
      <c r="F88" s="33" t="s">
        <v>355</v>
      </c>
      <c r="G88" s="81">
        <f>$G$45*G87</f>
        <v>3912</v>
      </c>
      <c r="H88" s="81">
        <f t="shared" ref="H88:L88" si="32">$G$45*H87</f>
        <v>3748.9999999999995</v>
      </c>
      <c r="I88" s="81">
        <f t="shared" si="32"/>
        <v>3586</v>
      </c>
      <c r="J88" s="81">
        <f t="shared" si="32"/>
        <v>3423</v>
      </c>
      <c r="K88" s="81">
        <f t="shared" si="32"/>
        <v>3259.9999999999995</v>
      </c>
      <c r="L88" s="81">
        <f t="shared" si="32"/>
        <v>3097</v>
      </c>
    </row>
    <row r="89" spans="6:12" x14ac:dyDescent="0.25">
      <c r="F89" s="33"/>
      <c r="G89" s="81"/>
      <c r="H89" s="81"/>
      <c r="I89" s="81"/>
      <c r="J89" s="81"/>
      <c r="K89" s="81"/>
      <c r="L89" s="81"/>
    </row>
    <row r="90" spans="6:12" x14ac:dyDescent="0.25">
      <c r="G90" s="34">
        <v>0.13</v>
      </c>
      <c r="H90" s="113">
        <f>G90-0.005</f>
        <v>0.125</v>
      </c>
      <c r="I90" s="36">
        <f>G90-0.01</f>
        <v>0.12000000000000001</v>
      </c>
      <c r="J90" s="36">
        <f>G90-0.015</f>
        <v>0.115</v>
      </c>
      <c r="K90" s="113">
        <f>G90-0.02</f>
        <v>0.11</v>
      </c>
      <c r="L90" s="113">
        <f>G90-0.025</f>
        <v>0.10500000000000001</v>
      </c>
    </row>
    <row r="91" spans="6:12" x14ac:dyDescent="0.25">
      <c r="F91" s="33" t="s">
        <v>356</v>
      </c>
      <c r="G91" s="81">
        <f>$G$45*G90</f>
        <v>4238</v>
      </c>
      <c r="H91" s="81">
        <f t="shared" ref="H91:L91" si="33">$G$45*H90</f>
        <v>4075</v>
      </c>
      <c r="I91" s="81">
        <f t="shared" si="33"/>
        <v>3912.0000000000005</v>
      </c>
      <c r="J91" s="81">
        <f t="shared" si="33"/>
        <v>3749</v>
      </c>
      <c r="K91" s="81">
        <f t="shared" si="33"/>
        <v>3586</v>
      </c>
      <c r="L91" s="81">
        <f t="shared" si="33"/>
        <v>3423.0000000000005</v>
      </c>
    </row>
    <row r="92" spans="6:12" x14ac:dyDescent="0.25">
      <c r="F92" s="33"/>
      <c r="G92" s="81"/>
      <c r="H92" s="81"/>
      <c r="I92" s="81"/>
      <c r="J92" s="81"/>
      <c r="K92" s="81"/>
      <c r="L92" s="81"/>
    </row>
    <row r="93" spans="6:12" x14ac:dyDescent="0.25">
      <c r="G93" s="34">
        <v>0.14000000000000001</v>
      </c>
      <c r="H93" s="113">
        <f>G93-0.005</f>
        <v>0.13500000000000001</v>
      </c>
      <c r="I93" s="36">
        <f>G93-0.01</f>
        <v>0.13</v>
      </c>
      <c r="J93" s="36">
        <f>G93-0.015</f>
        <v>0.125</v>
      </c>
      <c r="K93" s="113">
        <f>G93-0.02</f>
        <v>0.12000000000000001</v>
      </c>
      <c r="L93" s="113">
        <f>G93-0.025</f>
        <v>0.11500000000000002</v>
      </c>
    </row>
    <row r="94" spans="6:12" x14ac:dyDescent="0.25">
      <c r="F94" s="33" t="s">
        <v>357</v>
      </c>
      <c r="G94" s="81">
        <f>$G$45*G93</f>
        <v>4564</v>
      </c>
      <c r="H94" s="81">
        <f t="shared" ref="H94:L94" si="34">$G$45*H93</f>
        <v>4401</v>
      </c>
      <c r="I94" s="81">
        <f t="shared" si="34"/>
        <v>4238</v>
      </c>
      <c r="J94" s="81">
        <f t="shared" si="34"/>
        <v>4075</v>
      </c>
      <c r="K94" s="81">
        <f t="shared" si="34"/>
        <v>3912.0000000000005</v>
      </c>
      <c r="L94" s="81">
        <f t="shared" si="34"/>
        <v>3749.0000000000005</v>
      </c>
    </row>
    <row r="95" spans="6:12" x14ac:dyDescent="0.25">
      <c r="F95" s="33"/>
      <c r="G95" s="81"/>
      <c r="H95" s="81"/>
      <c r="I95" s="81"/>
      <c r="J95" s="81"/>
      <c r="K95" s="81"/>
      <c r="L95" s="81"/>
    </row>
    <row r="96" spans="6:12" x14ac:dyDescent="0.25">
      <c r="G96" s="34">
        <v>0.15</v>
      </c>
      <c r="H96" s="113">
        <f>G96-0.005</f>
        <v>0.14499999999999999</v>
      </c>
      <c r="I96" s="36">
        <f>G96-0.01</f>
        <v>0.13999999999999999</v>
      </c>
      <c r="J96" s="36">
        <f>G96-0.015</f>
        <v>0.13500000000000001</v>
      </c>
      <c r="K96" s="113">
        <f>G96-0.02</f>
        <v>0.13</v>
      </c>
      <c r="L96" s="113">
        <f>G96-0.025</f>
        <v>0.125</v>
      </c>
    </row>
    <row r="97" spans="6:12" x14ac:dyDescent="0.25">
      <c r="F97" s="33" t="s">
        <v>376</v>
      </c>
      <c r="G97" s="81">
        <f>$G$45*G96</f>
        <v>4890</v>
      </c>
      <c r="H97" s="81">
        <f t="shared" ref="H97:L97" si="35">$G$45*H96</f>
        <v>4727</v>
      </c>
      <c r="I97" s="81">
        <f t="shared" si="35"/>
        <v>4563.9999999999991</v>
      </c>
      <c r="J97" s="81">
        <f t="shared" si="35"/>
        <v>4401</v>
      </c>
      <c r="K97" s="81">
        <f t="shared" si="35"/>
        <v>4238</v>
      </c>
      <c r="L97" s="81">
        <f t="shared" si="35"/>
        <v>4075</v>
      </c>
    </row>
    <row r="98" spans="6:12" x14ac:dyDescent="0.25">
      <c r="F98" s="33"/>
      <c r="G98" s="81"/>
      <c r="H98" s="81"/>
      <c r="I98" s="81"/>
      <c r="J98" s="81"/>
      <c r="K98" s="81"/>
      <c r="L98" s="81"/>
    </row>
    <row r="99" spans="6:12" x14ac:dyDescent="0.25">
      <c r="G99" s="34">
        <v>0.16</v>
      </c>
      <c r="H99" s="113">
        <f>G99-0.005</f>
        <v>0.155</v>
      </c>
      <c r="I99" s="36">
        <f>G99-0.01</f>
        <v>0.15</v>
      </c>
      <c r="J99" s="36">
        <f>G99-0.015</f>
        <v>0.14500000000000002</v>
      </c>
      <c r="K99" s="113">
        <f>G99-0.02</f>
        <v>0.14000000000000001</v>
      </c>
      <c r="L99" s="113">
        <f>G99-0.025</f>
        <v>0.13500000000000001</v>
      </c>
    </row>
    <row r="100" spans="6:12" x14ac:dyDescent="0.25">
      <c r="F100" s="33" t="s">
        <v>377</v>
      </c>
      <c r="G100" s="81">
        <f>$G$45*G99</f>
        <v>5216</v>
      </c>
      <c r="H100" s="81">
        <f t="shared" ref="H100" si="36">$G$45*H99</f>
        <v>5053</v>
      </c>
      <c r="I100" s="81">
        <f t="shared" ref="I100" si="37">$G$45*I99</f>
        <v>4890</v>
      </c>
      <c r="J100" s="81">
        <f t="shared" ref="J100" si="38">$G$45*J99</f>
        <v>4727.0000000000009</v>
      </c>
      <c r="K100" s="81">
        <f t="shared" ref="K100" si="39">$G$45*K99</f>
        <v>4564</v>
      </c>
      <c r="L100" s="81">
        <f t="shared" ref="L100" si="40">$G$45*L99</f>
        <v>4401</v>
      </c>
    </row>
    <row r="101" spans="6:12" x14ac:dyDescent="0.25">
      <c r="F101" s="33"/>
      <c r="G101" s="81"/>
      <c r="H101" s="81"/>
      <c r="I101" s="81"/>
      <c r="J101" s="81"/>
      <c r="K101" s="81"/>
      <c r="L101" s="81"/>
    </row>
    <row r="102" spans="6:12" x14ac:dyDescent="0.25">
      <c r="G102" s="34">
        <v>0.17</v>
      </c>
      <c r="H102" s="113">
        <f>G102-0.005</f>
        <v>0.16500000000000001</v>
      </c>
      <c r="I102" s="36">
        <f>G102-0.01</f>
        <v>0.16</v>
      </c>
      <c r="J102" s="36">
        <f>G102-0.015</f>
        <v>0.15500000000000003</v>
      </c>
      <c r="K102" s="113">
        <f>G102-0.02</f>
        <v>0.15000000000000002</v>
      </c>
      <c r="L102" s="113">
        <f>G102-0.025</f>
        <v>0.14500000000000002</v>
      </c>
    </row>
    <row r="103" spans="6:12" x14ac:dyDescent="0.25">
      <c r="F103" s="33" t="s">
        <v>358</v>
      </c>
      <c r="G103" s="81">
        <f>$G$45*G102</f>
        <v>5542</v>
      </c>
      <c r="H103" s="81">
        <f t="shared" ref="H103:L103" si="41">$G$45*H102</f>
        <v>5379</v>
      </c>
      <c r="I103" s="81">
        <f t="shared" si="41"/>
        <v>5216</v>
      </c>
      <c r="J103" s="81">
        <f t="shared" si="41"/>
        <v>5053.0000000000009</v>
      </c>
      <c r="K103" s="81">
        <f t="shared" si="41"/>
        <v>4890.0000000000009</v>
      </c>
      <c r="L103" s="81">
        <f t="shared" si="41"/>
        <v>4727.0000000000009</v>
      </c>
    </row>
    <row r="104" spans="6:12" x14ac:dyDescent="0.25">
      <c r="F104" s="33"/>
      <c r="G104" s="81"/>
      <c r="H104" s="81"/>
      <c r="I104" s="81"/>
      <c r="J104" s="81"/>
      <c r="K104" s="81"/>
      <c r="L104" s="81"/>
    </row>
    <row r="105" spans="6:12" x14ac:dyDescent="0.25">
      <c r="G105" s="34">
        <v>0.18</v>
      </c>
      <c r="H105" s="113">
        <f>G105-0.005</f>
        <v>0.17499999999999999</v>
      </c>
      <c r="I105" s="36">
        <f>G105-0.01</f>
        <v>0.16999999999999998</v>
      </c>
      <c r="J105" s="36">
        <f>G105-0.015</f>
        <v>0.16499999999999998</v>
      </c>
      <c r="K105" s="113">
        <f>G105-0.02</f>
        <v>0.16</v>
      </c>
      <c r="L105" s="113">
        <f>G105-0.025</f>
        <v>0.155</v>
      </c>
    </row>
    <row r="106" spans="6:12" x14ac:dyDescent="0.25">
      <c r="F106" s="33" t="s">
        <v>359</v>
      </c>
      <c r="G106" s="81">
        <f>$G$45*G105</f>
        <v>5868</v>
      </c>
      <c r="H106" s="81">
        <f t="shared" ref="H106" si="42">$G$45*H105</f>
        <v>5705</v>
      </c>
      <c r="I106" s="81">
        <f t="shared" ref="I106" si="43">$G$45*I105</f>
        <v>5541.9999999999991</v>
      </c>
      <c r="J106" s="81">
        <f t="shared" ref="J106" si="44">$G$45*J105</f>
        <v>5378.9999999999991</v>
      </c>
      <c r="K106" s="81">
        <f t="shared" ref="K106" si="45">$G$45*K105</f>
        <v>5216</v>
      </c>
      <c r="L106" s="81">
        <f t="shared" ref="L106" si="46">$G$45*L105</f>
        <v>5053</v>
      </c>
    </row>
    <row r="107" spans="6:12" x14ac:dyDescent="0.25">
      <c r="F107" s="33"/>
      <c r="G107" s="81"/>
      <c r="H107" s="81"/>
      <c r="I107" s="81"/>
      <c r="J107" s="81"/>
      <c r="K107" s="81"/>
      <c r="L107" s="81"/>
    </row>
    <row r="108" spans="6:12" x14ac:dyDescent="0.25">
      <c r="G108" s="34">
        <v>0.2</v>
      </c>
      <c r="H108" s="113">
        <f>G108-0.005</f>
        <v>0.19500000000000001</v>
      </c>
      <c r="I108" s="36">
        <f>G108-0.01</f>
        <v>0.19</v>
      </c>
      <c r="J108" s="36">
        <f>G108-0.015</f>
        <v>0.185</v>
      </c>
      <c r="K108" s="113">
        <f>G108-0.02</f>
        <v>0.18000000000000002</v>
      </c>
      <c r="L108" s="113">
        <f>G108-0.025</f>
        <v>0.17500000000000002</v>
      </c>
    </row>
    <row r="109" spans="6:12" x14ac:dyDescent="0.25">
      <c r="F109" s="33" t="s">
        <v>360</v>
      </c>
      <c r="G109" s="81">
        <f>$G$45*G108</f>
        <v>6520</v>
      </c>
      <c r="H109" s="81">
        <f t="shared" ref="H109:L109" si="47">$G$45*H108</f>
        <v>6357</v>
      </c>
      <c r="I109" s="81">
        <f t="shared" si="47"/>
        <v>6194</v>
      </c>
      <c r="J109" s="81">
        <f t="shared" si="47"/>
        <v>6031</v>
      </c>
      <c r="K109" s="81">
        <f t="shared" si="47"/>
        <v>5868.0000000000009</v>
      </c>
      <c r="L109" s="81">
        <f t="shared" si="47"/>
        <v>5705.0000000000009</v>
      </c>
    </row>
    <row r="110" spans="6:12" x14ac:dyDescent="0.25">
      <c r="F110" s="33"/>
      <c r="G110" s="81"/>
      <c r="H110" s="81"/>
      <c r="I110" s="81"/>
      <c r="J110" s="81"/>
      <c r="K110" s="81"/>
      <c r="L110" s="81"/>
    </row>
    <row r="111" spans="6:12" x14ac:dyDescent="0.25">
      <c r="G111" s="34">
        <v>0.21</v>
      </c>
      <c r="H111" s="113">
        <f>G111-0.005</f>
        <v>0.20499999999999999</v>
      </c>
      <c r="I111" s="36">
        <f>G111-0.01</f>
        <v>0.19999999999999998</v>
      </c>
      <c r="J111" s="36">
        <f>G111-0.015</f>
        <v>0.19500000000000001</v>
      </c>
      <c r="K111" s="113">
        <f>G111-0.02</f>
        <v>0.19</v>
      </c>
      <c r="L111" s="113">
        <f>G111-0.025</f>
        <v>0.185</v>
      </c>
    </row>
    <row r="112" spans="6:12" x14ac:dyDescent="0.25">
      <c r="F112" s="33" t="s">
        <v>361</v>
      </c>
      <c r="G112" s="81">
        <f>$G$45*G111</f>
        <v>6846</v>
      </c>
      <c r="H112" s="81">
        <f t="shared" ref="H112:L112" si="48">$G$45*H111</f>
        <v>6683</v>
      </c>
      <c r="I112" s="81">
        <f t="shared" si="48"/>
        <v>6519.9999999999991</v>
      </c>
      <c r="J112" s="81">
        <f t="shared" si="48"/>
        <v>6357</v>
      </c>
      <c r="K112" s="81">
        <f t="shared" si="48"/>
        <v>6194</v>
      </c>
      <c r="L112" s="81">
        <f t="shared" si="48"/>
        <v>6031</v>
      </c>
    </row>
    <row r="113" spans="6:12" x14ac:dyDescent="0.25">
      <c r="F113" s="33"/>
      <c r="G113" s="81"/>
      <c r="H113" s="81"/>
      <c r="I113" s="81"/>
      <c r="J113" s="81"/>
      <c r="K113" s="81"/>
      <c r="L113" s="81"/>
    </row>
    <row r="114" spans="6:12" x14ac:dyDescent="0.25">
      <c r="G114" s="34">
        <v>0.22</v>
      </c>
      <c r="H114" s="113">
        <f>G114-0.005</f>
        <v>0.215</v>
      </c>
      <c r="I114" s="36">
        <f>G114-0.01</f>
        <v>0.21</v>
      </c>
      <c r="J114" s="36">
        <f>G114-0.015</f>
        <v>0.20500000000000002</v>
      </c>
      <c r="K114" s="113">
        <f>G114-0.02</f>
        <v>0.2</v>
      </c>
      <c r="L114" s="113">
        <f>G114-0.025</f>
        <v>0.19500000000000001</v>
      </c>
    </row>
    <row r="115" spans="6:12" x14ac:dyDescent="0.25">
      <c r="F115" s="33" t="s">
        <v>362</v>
      </c>
      <c r="G115" s="81">
        <f>$G$45*G114</f>
        <v>7172</v>
      </c>
      <c r="H115" s="81">
        <f t="shared" ref="H115:L115" si="49">$G$45*H114</f>
        <v>7009</v>
      </c>
      <c r="I115" s="81">
        <f t="shared" si="49"/>
        <v>6846</v>
      </c>
      <c r="J115" s="81">
        <f t="shared" si="49"/>
        <v>6683.0000000000009</v>
      </c>
      <c r="K115" s="81">
        <f t="shared" si="49"/>
        <v>6520</v>
      </c>
      <c r="L115" s="81">
        <f t="shared" si="49"/>
        <v>6357</v>
      </c>
    </row>
    <row r="116" spans="6:12" x14ac:dyDescent="0.25">
      <c r="F116" s="33"/>
      <c r="G116" s="81"/>
      <c r="H116" s="81"/>
      <c r="I116" s="81"/>
      <c r="J116" s="81"/>
      <c r="K116" s="81"/>
      <c r="L116" s="81"/>
    </row>
    <row r="117" spans="6:12" x14ac:dyDescent="0.25">
      <c r="G117" s="34">
        <v>0.23</v>
      </c>
      <c r="H117" s="113">
        <f>G117-0.005</f>
        <v>0.22500000000000001</v>
      </c>
      <c r="I117" s="36">
        <f>G117-0.01</f>
        <v>0.22</v>
      </c>
      <c r="J117" s="36">
        <f>G117-0.015</f>
        <v>0.21500000000000002</v>
      </c>
      <c r="K117" s="113">
        <f>G117-0.02</f>
        <v>0.21000000000000002</v>
      </c>
      <c r="L117" s="113">
        <f>G117-0.025</f>
        <v>0.20500000000000002</v>
      </c>
    </row>
    <row r="118" spans="6:12" x14ac:dyDescent="0.25">
      <c r="F118" s="33" t="s">
        <v>363</v>
      </c>
      <c r="G118" s="81">
        <f>$G$45*G117</f>
        <v>7498</v>
      </c>
      <c r="H118" s="81">
        <f t="shared" ref="H118:L118" si="50">$G$45*H117</f>
        <v>7335</v>
      </c>
      <c r="I118" s="81">
        <f t="shared" si="50"/>
        <v>7172</v>
      </c>
      <c r="J118" s="81">
        <f t="shared" si="50"/>
        <v>7009.0000000000009</v>
      </c>
      <c r="K118" s="81">
        <f t="shared" si="50"/>
        <v>6846.0000000000009</v>
      </c>
      <c r="L118" s="81">
        <f t="shared" si="50"/>
        <v>6683.0000000000009</v>
      </c>
    </row>
    <row r="119" spans="6:12" x14ac:dyDescent="0.25">
      <c r="F119" s="33"/>
      <c r="G119" s="81"/>
      <c r="H119" s="81"/>
      <c r="I119" s="81"/>
      <c r="J119" s="81"/>
      <c r="K119" s="81"/>
      <c r="L119" s="81"/>
    </row>
    <row r="120" spans="6:12" x14ac:dyDescent="0.25">
      <c r="G120" s="34">
        <v>0.24</v>
      </c>
      <c r="H120" s="113">
        <f>G120-0.005</f>
        <v>0.23499999999999999</v>
      </c>
      <c r="I120" s="36">
        <f>G120-0.01</f>
        <v>0.22999999999999998</v>
      </c>
      <c r="J120" s="36">
        <f>G120-0.015</f>
        <v>0.22499999999999998</v>
      </c>
      <c r="K120" s="113">
        <f>G120-0.02</f>
        <v>0.22</v>
      </c>
      <c r="L120" s="113">
        <f>G120-0.025</f>
        <v>0.215</v>
      </c>
    </row>
    <row r="121" spans="6:12" x14ac:dyDescent="0.25">
      <c r="F121" s="33" t="s">
        <v>364</v>
      </c>
      <c r="G121" s="81">
        <f>$G$45*G120</f>
        <v>7824</v>
      </c>
      <c r="H121" s="81">
        <f t="shared" ref="H121:L121" si="51">$G$45*H120</f>
        <v>7661</v>
      </c>
      <c r="I121" s="81">
        <f t="shared" si="51"/>
        <v>7497.9999999999991</v>
      </c>
      <c r="J121" s="81">
        <f t="shared" si="51"/>
        <v>7334.9999999999991</v>
      </c>
      <c r="K121" s="81">
        <f t="shared" si="51"/>
        <v>7172</v>
      </c>
      <c r="L121" s="81">
        <f t="shared" si="51"/>
        <v>7009</v>
      </c>
    </row>
    <row r="122" spans="6:12" x14ac:dyDescent="0.25">
      <c r="F122" s="33"/>
      <c r="G122" s="81"/>
      <c r="H122" s="81"/>
      <c r="I122" s="81"/>
      <c r="J122" s="81"/>
      <c r="K122" s="81"/>
      <c r="L122" s="81"/>
    </row>
    <row r="123" spans="6:12" x14ac:dyDescent="0.25">
      <c r="G123" s="34">
        <v>0.25</v>
      </c>
      <c r="H123" s="113">
        <f>G123-0.005</f>
        <v>0.245</v>
      </c>
      <c r="I123" s="36">
        <f>G123-0.01</f>
        <v>0.24</v>
      </c>
      <c r="J123" s="36">
        <f>G123-0.015</f>
        <v>0.23499999999999999</v>
      </c>
      <c r="K123" s="113">
        <f>G123-0.02</f>
        <v>0.23</v>
      </c>
      <c r="L123" s="113">
        <f>G123-0.025</f>
        <v>0.22500000000000001</v>
      </c>
    </row>
    <row r="124" spans="6:12" x14ac:dyDescent="0.25">
      <c r="F124" s="33" t="s">
        <v>365</v>
      </c>
      <c r="G124" s="81">
        <f>$G$45*G123</f>
        <v>8150</v>
      </c>
      <c r="H124" s="81">
        <f t="shared" ref="H124:L124" si="52">$G$45*H123</f>
        <v>7987</v>
      </c>
      <c r="I124" s="81">
        <f t="shared" si="52"/>
        <v>7824</v>
      </c>
      <c r="J124" s="81">
        <f t="shared" si="52"/>
        <v>7661</v>
      </c>
      <c r="K124" s="81">
        <f t="shared" si="52"/>
        <v>7498</v>
      </c>
      <c r="L124" s="81">
        <f t="shared" si="52"/>
        <v>7335</v>
      </c>
    </row>
    <row r="125" spans="6:12" x14ac:dyDescent="0.25">
      <c r="F125" s="33"/>
      <c r="G125" s="81"/>
      <c r="H125" s="81"/>
      <c r="I125" s="81"/>
      <c r="J125" s="81"/>
      <c r="K125" s="81"/>
      <c r="L125" s="81"/>
    </row>
    <row r="126" spans="6:12" x14ac:dyDescent="0.25">
      <c r="G126" s="34">
        <v>0.27</v>
      </c>
      <c r="H126" s="113">
        <f>G126-0.005</f>
        <v>0.26500000000000001</v>
      </c>
      <c r="I126" s="36">
        <f>G126-0.01</f>
        <v>0.26</v>
      </c>
      <c r="J126" s="36">
        <f>G126-0.015</f>
        <v>0.255</v>
      </c>
      <c r="K126" s="113">
        <f>G126-0.02</f>
        <v>0.25</v>
      </c>
      <c r="L126" s="113">
        <f>G126-0.025</f>
        <v>0.24500000000000002</v>
      </c>
    </row>
    <row r="127" spans="6:12" x14ac:dyDescent="0.25">
      <c r="F127" s="33" t="s">
        <v>366</v>
      </c>
      <c r="G127" s="81">
        <f>$G$45*G126</f>
        <v>8802</v>
      </c>
      <c r="H127" s="81">
        <f t="shared" ref="H127:L127" si="53">$G$45*H126</f>
        <v>8639</v>
      </c>
      <c r="I127" s="81">
        <f t="shared" si="53"/>
        <v>8476</v>
      </c>
      <c r="J127" s="81">
        <f t="shared" si="53"/>
        <v>8313</v>
      </c>
      <c r="K127" s="81">
        <f t="shared" si="53"/>
        <v>8150</v>
      </c>
      <c r="L127" s="81">
        <f t="shared" si="53"/>
        <v>7987.0000000000009</v>
      </c>
    </row>
    <row r="128" spans="6:12" x14ac:dyDescent="0.25">
      <c r="F128" s="33"/>
      <c r="G128" s="81"/>
      <c r="H128" s="81"/>
      <c r="I128" s="81"/>
      <c r="J128" s="81"/>
      <c r="K128" s="81"/>
      <c r="L128" s="81"/>
    </row>
    <row r="129" spans="6:12" x14ac:dyDescent="0.25">
      <c r="G129" s="34">
        <v>0.28999999999999998</v>
      </c>
      <c r="H129" s="113">
        <f>G129-0.005</f>
        <v>0.28499999999999998</v>
      </c>
      <c r="I129" s="36">
        <f>G129-0.01</f>
        <v>0.27999999999999997</v>
      </c>
      <c r="J129" s="36">
        <f>G129-0.015</f>
        <v>0.27499999999999997</v>
      </c>
      <c r="K129" s="113">
        <f>G129-0.02</f>
        <v>0.26999999999999996</v>
      </c>
      <c r="L129" s="113">
        <f>G129-0.025</f>
        <v>0.26499999999999996</v>
      </c>
    </row>
    <row r="130" spans="6:12" x14ac:dyDescent="0.25">
      <c r="F130" s="33" t="s">
        <v>367</v>
      </c>
      <c r="G130" s="81">
        <f>$G$45*G129</f>
        <v>9454</v>
      </c>
      <c r="H130" s="81">
        <f t="shared" ref="H130:L130" si="54">$G$45*H129</f>
        <v>9291</v>
      </c>
      <c r="I130" s="81">
        <f t="shared" si="54"/>
        <v>9127.9999999999982</v>
      </c>
      <c r="J130" s="81">
        <f t="shared" si="54"/>
        <v>8964.9999999999982</v>
      </c>
      <c r="K130" s="81">
        <f t="shared" si="54"/>
        <v>8801.9999999999982</v>
      </c>
      <c r="L130" s="81">
        <f t="shared" si="54"/>
        <v>8638.9999999999982</v>
      </c>
    </row>
    <row r="131" spans="6:12" x14ac:dyDescent="0.25">
      <c r="F131" s="33"/>
      <c r="G131" s="81"/>
      <c r="H131" s="81"/>
      <c r="I131" s="81"/>
      <c r="J131" s="81"/>
      <c r="K131" s="81"/>
      <c r="L131" s="81"/>
    </row>
    <row r="132" spans="6:12" x14ac:dyDescent="0.25">
      <c r="G132" s="34">
        <v>0.32</v>
      </c>
      <c r="H132" s="113">
        <f>G132-0.005</f>
        <v>0.315</v>
      </c>
      <c r="I132" s="36">
        <f>G132-0.01</f>
        <v>0.31</v>
      </c>
      <c r="J132" s="36">
        <f>G132-0.015</f>
        <v>0.30499999999999999</v>
      </c>
      <c r="K132" s="113">
        <f>G132-0.02</f>
        <v>0.3</v>
      </c>
      <c r="L132" s="113">
        <f>G132-0.025</f>
        <v>0.29499999999999998</v>
      </c>
    </row>
    <row r="133" spans="6:12" x14ac:dyDescent="0.25">
      <c r="F133" s="33" t="s">
        <v>368</v>
      </c>
      <c r="G133" s="81">
        <f>$G$45*G132</f>
        <v>10432</v>
      </c>
      <c r="H133" s="81">
        <f t="shared" ref="H133:L133" si="55">$G$45*H132</f>
        <v>10269</v>
      </c>
      <c r="I133" s="81">
        <f t="shared" si="55"/>
        <v>10106</v>
      </c>
      <c r="J133" s="81">
        <f t="shared" si="55"/>
        <v>9943</v>
      </c>
      <c r="K133" s="81">
        <f t="shared" si="55"/>
        <v>9780</v>
      </c>
      <c r="L133" s="81">
        <f t="shared" si="55"/>
        <v>9617</v>
      </c>
    </row>
    <row r="134" spans="6:12" x14ac:dyDescent="0.25">
      <c r="F134" s="33"/>
      <c r="G134" s="81"/>
      <c r="H134" s="81"/>
      <c r="I134" s="81"/>
      <c r="J134" s="81"/>
      <c r="K134" s="81"/>
      <c r="L134" s="81"/>
    </row>
    <row r="135" spans="6:12" x14ac:dyDescent="0.25">
      <c r="G135" s="34">
        <v>0.35</v>
      </c>
      <c r="H135" s="113">
        <f>G135-0.005</f>
        <v>0.34499999999999997</v>
      </c>
      <c r="I135" s="36">
        <f>G135-0.01</f>
        <v>0.33999999999999997</v>
      </c>
      <c r="J135" s="36">
        <f>G135-0.015</f>
        <v>0.33499999999999996</v>
      </c>
      <c r="K135" s="113">
        <f>G135-0.02</f>
        <v>0.32999999999999996</v>
      </c>
      <c r="L135" s="113">
        <f>G135-0.025</f>
        <v>0.32499999999999996</v>
      </c>
    </row>
    <row r="136" spans="6:12" x14ac:dyDescent="0.25">
      <c r="F136" s="33" t="s">
        <v>369</v>
      </c>
      <c r="G136" s="81">
        <f>$G$45*G135</f>
        <v>11410</v>
      </c>
      <c r="H136" s="81">
        <f t="shared" ref="H136:L136" si="56">$G$45*H135</f>
        <v>11247</v>
      </c>
      <c r="I136" s="81">
        <f t="shared" si="56"/>
        <v>11083.999999999998</v>
      </c>
      <c r="J136" s="81">
        <f t="shared" si="56"/>
        <v>10920.999999999998</v>
      </c>
      <c r="K136" s="81">
        <f t="shared" si="56"/>
        <v>10757.999999999998</v>
      </c>
      <c r="L136" s="81">
        <f t="shared" si="56"/>
        <v>10594.999999999998</v>
      </c>
    </row>
    <row r="137" spans="6:12" x14ac:dyDescent="0.25">
      <c r="F137" s="33"/>
      <c r="G137" s="81"/>
      <c r="H137" s="81"/>
      <c r="I137" s="81"/>
      <c r="J137" s="81"/>
      <c r="K137" s="81"/>
      <c r="L137" s="81"/>
    </row>
    <row r="138" spans="6:12" x14ac:dyDescent="0.25">
      <c r="G138" s="34">
        <v>0.4</v>
      </c>
      <c r="H138" s="113">
        <f>G138-0.005</f>
        <v>0.39500000000000002</v>
      </c>
      <c r="I138" s="36">
        <f>G138-0.01</f>
        <v>0.39</v>
      </c>
      <c r="J138" s="36">
        <f>G138-0.015</f>
        <v>0.38500000000000001</v>
      </c>
      <c r="K138" s="113">
        <f>G138-0.02</f>
        <v>0.38</v>
      </c>
      <c r="L138" s="113">
        <f>G138-0.025</f>
        <v>0.375</v>
      </c>
    </row>
    <row r="139" spans="6:12" x14ac:dyDescent="0.25">
      <c r="F139" s="33" t="s">
        <v>370</v>
      </c>
      <c r="G139" s="81">
        <f>$G$45*G138</f>
        <v>13040</v>
      </c>
      <c r="H139" s="81">
        <f t="shared" ref="H139:L139" si="57">$G$45*H138</f>
        <v>12877</v>
      </c>
      <c r="I139" s="81">
        <f t="shared" si="57"/>
        <v>12714</v>
      </c>
      <c r="J139" s="81">
        <f t="shared" si="57"/>
        <v>12551</v>
      </c>
      <c r="K139" s="81">
        <f t="shared" si="57"/>
        <v>12388</v>
      </c>
      <c r="L139" s="81">
        <f t="shared" si="57"/>
        <v>12225</v>
      </c>
    </row>
    <row r="140" spans="6:12" x14ac:dyDescent="0.25">
      <c r="F140" s="33"/>
      <c r="G140" s="81"/>
      <c r="H140" s="81"/>
      <c r="I140" s="81"/>
      <c r="J140" s="81"/>
      <c r="K140" s="81"/>
      <c r="L140" s="81"/>
    </row>
    <row r="141" spans="6:12" x14ac:dyDescent="0.25">
      <c r="G141" s="34">
        <v>0.45</v>
      </c>
      <c r="H141" s="113">
        <f>G141-0.005</f>
        <v>0.44500000000000001</v>
      </c>
      <c r="I141" s="36">
        <f>G141-0.01</f>
        <v>0.44</v>
      </c>
      <c r="J141" s="36">
        <f>G141-0.015</f>
        <v>0.435</v>
      </c>
      <c r="K141" s="113">
        <f>G141-0.02</f>
        <v>0.43</v>
      </c>
      <c r="L141" s="113">
        <f>G141-0.025</f>
        <v>0.42499999999999999</v>
      </c>
    </row>
    <row r="142" spans="6:12" x14ac:dyDescent="0.25">
      <c r="F142" s="33" t="s">
        <v>371</v>
      </c>
      <c r="G142" s="81">
        <f>$G$45*G141</f>
        <v>14670</v>
      </c>
      <c r="H142" s="81">
        <f t="shared" ref="H142:L142" si="58">$G$45*H141</f>
        <v>14507</v>
      </c>
      <c r="I142" s="81">
        <f t="shared" si="58"/>
        <v>14344</v>
      </c>
      <c r="J142" s="81">
        <f t="shared" si="58"/>
        <v>14181</v>
      </c>
      <c r="K142" s="81">
        <f t="shared" si="58"/>
        <v>14018</v>
      </c>
      <c r="L142" s="81">
        <f t="shared" si="58"/>
        <v>13855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BB6BC-5E43-45CF-87CE-9318233C6A00}">
  <dimension ref="B2:J140"/>
  <sheetViews>
    <sheetView topLeftCell="A106" workbookViewId="0">
      <selection activeCell="G133" sqref="G133"/>
    </sheetView>
  </sheetViews>
  <sheetFormatPr defaultRowHeight="15" x14ac:dyDescent="0.25"/>
  <cols>
    <col min="2" max="2" width="9.140625" style="23"/>
    <col min="3" max="3" width="3.7109375" customWidth="1"/>
    <col min="4" max="4" width="34.85546875" customWidth="1"/>
    <col min="5" max="5" width="10.7109375" customWidth="1"/>
    <col min="6" max="6" width="66.140625" customWidth="1"/>
    <col min="7" max="7" width="52.28515625" customWidth="1"/>
    <col min="8" max="8" width="37.85546875" customWidth="1"/>
    <col min="9" max="9" width="34.5703125" customWidth="1"/>
    <col min="10" max="10" width="28.28515625" customWidth="1"/>
    <col min="11" max="11" width="96.28515625" customWidth="1"/>
  </cols>
  <sheetData>
    <row r="2" spans="2:9" ht="30" x14ac:dyDescent="0.25">
      <c r="B2" s="23" t="s">
        <v>126</v>
      </c>
      <c r="D2" s="23" t="s">
        <v>194</v>
      </c>
      <c r="F2" s="70" t="s">
        <v>83</v>
      </c>
      <c r="G2" s="61" t="s">
        <v>195</v>
      </c>
    </row>
    <row r="3" spans="2:9" x14ac:dyDescent="0.25">
      <c r="F3" s="43">
        <v>1</v>
      </c>
      <c r="G3" s="43" t="s">
        <v>265</v>
      </c>
    </row>
    <row r="4" spans="2:9" x14ac:dyDescent="0.25">
      <c r="F4" s="43">
        <v>2</v>
      </c>
      <c r="G4" s="43" t="s">
        <v>255</v>
      </c>
    </row>
    <row r="5" spans="2:9" x14ac:dyDescent="0.25">
      <c r="F5" s="43">
        <v>3</v>
      </c>
      <c r="G5" s="43" t="s">
        <v>256</v>
      </c>
    </row>
    <row r="6" spans="2:9" x14ac:dyDescent="0.25">
      <c r="F6" s="43">
        <v>4</v>
      </c>
      <c r="G6" s="43" t="s">
        <v>258</v>
      </c>
    </row>
    <row r="7" spans="2:9" x14ac:dyDescent="0.25">
      <c r="F7" s="43">
        <v>5</v>
      </c>
      <c r="G7" s="43" t="s">
        <v>257</v>
      </c>
    </row>
    <row r="8" spans="2:9" x14ac:dyDescent="0.25">
      <c r="F8" s="43">
        <v>6</v>
      </c>
      <c r="G8" s="43" t="s">
        <v>259</v>
      </c>
    </row>
    <row r="9" spans="2:9" x14ac:dyDescent="0.25">
      <c r="F9" s="43">
        <v>7</v>
      </c>
      <c r="G9" s="43" t="s">
        <v>260</v>
      </c>
    </row>
    <row r="10" spans="2:9" x14ac:dyDescent="0.25">
      <c r="F10" s="43">
        <v>7</v>
      </c>
      <c r="G10" s="43" t="s">
        <v>261</v>
      </c>
    </row>
    <row r="11" spans="2:9" x14ac:dyDescent="0.25">
      <c r="F11" s="43">
        <v>8</v>
      </c>
      <c r="G11" s="43" t="s">
        <v>262</v>
      </c>
    </row>
    <row r="12" spans="2:9" x14ac:dyDescent="0.25">
      <c r="F12" s="43">
        <v>7</v>
      </c>
      <c r="G12" s="43" t="s">
        <v>263</v>
      </c>
    </row>
    <row r="13" spans="2:9" x14ac:dyDescent="0.25">
      <c r="F13" s="43">
        <v>8</v>
      </c>
      <c r="G13" s="43" t="s">
        <v>264</v>
      </c>
    </row>
    <row r="16" spans="2:9" x14ac:dyDescent="0.25">
      <c r="B16" s="23" t="s">
        <v>134</v>
      </c>
      <c r="D16" s="23" t="s">
        <v>208</v>
      </c>
      <c r="F16" s="70" t="s">
        <v>82</v>
      </c>
      <c r="G16" s="70" t="s">
        <v>209</v>
      </c>
      <c r="H16" s="70" t="s">
        <v>231</v>
      </c>
      <c r="I16" s="70" t="s">
        <v>83</v>
      </c>
    </row>
    <row r="17" spans="4:9" x14ac:dyDescent="0.25">
      <c r="D17" s="23"/>
      <c r="F17" s="69"/>
      <c r="G17" s="49"/>
      <c r="H17" s="49"/>
      <c r="I17" s="49"/>
    </row>
    <row r="18" spans="4:9" x14ac:dyDescent="0.25">
      <c r="F18" s="49" t="s">
        <v>84</v>
      </c>
      <c r="G18" s="43"/>
      <c r="H18" s="43"/>
      <c r="I18" s="43">
        <v>1</v>
      </c>
    </row>
    <row r="19" spans="4:9" x14ac:dyDescent="0.25">
      <c r="F19" s="43"/>
      <c r="G19" s="43"/>
      <c r="H19" s="43"/>
      <c r="I19" s="43"/>
    </row>
    <row r="20" spans="4:9" x14ac:dyDescent="0.25">
      <c r="F20" s="43" t="s">
        <v>212</v>
      </c>
      <c r="G20" s="49" t="s">
        <v>544</v>
      </c>
      <c r="H20" s="49" t="s">
        <v>545</v>
      </c>
      <c r="I20" s="43"/>
    </row>
    <row r="21" spans="4:9" x14ac:dyDescent="0.25">
      <c r="F21" s="49" t="s">
        <v>233</v>
      </c>
      <c r="G21" s="43" t="s">
        <v>210</v>
      </c>
      <c r="H21" s="43" t="s">
        <v>546</v>
      </c>
      <c r="I21" s="43">
        <v>2</v>
      </c>
    </row>
    <row r="22" spans="4:9" x14ac:dyDescent="0.25">
      <c r="F22" s="59"/>
      <c r="G22" s="43" t="s">
        <v>211</v>
      </c>
      <c r="H22" s="43" t="s">
        <v>546</v>
      </c>
      <c r="I22" s="43">
        <v>3</v>
      </c>
    </row>
    <row r="23" spans="4:9" x14ac:dyDescent="0.25">
      <c r="F23" s="59"/>
      <c r="G23" s="43" t="s">
        <v>210</v>
      </c>
      <c r="H23" s="43" t="s">
        <v>234</v>
      </c>
      <c r="I23" s="43">
        <v>4</v>
      </c>
    </row>
    <row r="24" spans="4:9" x14ac:dyDescent="0.25">
      <c r="F24" s="59"/>
      <c r="G24" s="43" t="s">
        <v>211</v>
      </c>
      <c r="H24" s="43" t="s">
        <v>234</v>
      </c>
      <c r="I24" s="43">
        <v>5</v>
      </c>
    </row>
    <row r="25" spans="4:9" x14ac:dyDescent="0.25">
      <c r="F25" s="59"/>
      <c r="G25" s="43" t="s">
        <v>213</v>
      </c>
      <c r="H25" s="43" t="s">
        <v>546</v>
      </c>
      <c r="I25" s="43">
        <v>6</v>
      </c>
    </row>
    <row r="26" spans="4:9" x14ac:dyDescent="0.25">
      <c r="F26" s="59"/>
      <c r="G26" s="43" t="s">
        <v>213</v>
      </c>
      <c r="H26" s="43" t="s">
        <v>234</v>
      </c>
      <c r="I26" s="43">
        <v>7</v>
      </c>
    </row>
    <row r="27" spans="4:9" x14ac:dyDescent="0.25">
      <c r="F27" s="59"/>
      <c r="G27" s="43" t="s">
        <v>214</v>
      </c>
      <c r="H27" s="43" t="s">
        <v>546</v>
      </c>
      <c r="I27" s="43">
        <v>8</v>
      </c>
    </row>
    <row r="28" spans="4:9" x14ac:dyDescent="0.25">
      <c r="F28" s="59"/>
      <c r="G28" s="43" t="s">
        <v>214</v>
      </c>
      <c r="H28" s="43" t="s">
        <v>234</v>
      </c>
      <c r="I28" s="43">
        <v>9</v>
      </c>
    </row>
    <row r="29" spans="4:9" x14ac:dyDescent="0.25">
      <c r="F29" s="59"/>
      <c r="G29" s="43" t="s">
        <v>215</v>
      </c>
      <c r="H29" s="43" t="s">
        <v>546</v>
      </c>
      <c r="I29" s="43">
        <v>10</v>
      </c>
    </row>
    <row r="30" spans="4:9" x14ac:dyDescent="0.25">
      <c r="F30" s="59"/>
      <c r="G30" s="43" t="s">
        <v>215</v>
      </c>
      <c r="H30" s="43" t="s">
        <v>234</v>
      </c>
      <c r="I30" s="43">
        <v>11</v>
      </c>
    </row>
    <row r="31" spans="4:9" x14ac:dyDescent="0.25">
      <c r="F31" s="59"/>
      <c r="G31" s="43"/>
      <c r="H31" s="43"/>
      <c r="I31" s="43"/>
    </row>
    <row r="32" spans="4:9" x14ac:dyDescent="0.25">
      <c r="F32" s="49" t="s">
        <v>218</v>
      </c>
      <c r="G32" s="49" t="s">
        <v>547</v>
      </c>
      <c r="H32" s="49" t="s">
        <v>237</v>
      </c>
      <c r="I32" s="43"/>
    </row>
    <row r="33" spans="6:9" x14ac:dyDescent="0.25">
      <c r="F33" s="43"/>
      <c r="G33" s="43" t="s">
        <v>210</v>
      </c>
      <c r="H33" s="43" t="s">
        <v>548</v>
      </c>
      <c r="I33" s="43">
        <v>2</v>
      </c>
    </row>
    <row r="34" spans="6:9" x14ac:dyDescent="0.25">
      <c r="F34" s="43"/>
      <c r="G34" s="43" t="s">
        <v>211</v>
      </c>
      <c r="H34" s="43" t="s">
        <v>548</v>
      </c>
      <c r="I34" s="43">
        <v>3</v>
      </c>
    </row>
    <row r="35" spans="6:9" x14ac:dyDescent="0.25">
      <c r="F35" s="43"/>
      <c r="G35" s="43" t="s">
        <v>210</v>
      </c>
      <c r="H35" s="43" t="s">
        <v>236</v>
      </c>
      <c r="I35" s="43">
        <v>4</v>
      </c>
    </row>
    <row r="36" spans="6:9" x14ac:dyDescent="0.25">
      <c r="F36" s="43"/>
      <c r="G36" s="43" t="s">
        <v>211</v>
      </c>
      <c r="H36" s="43" t="s">
        <v>236</v>
      </c>
      <c r="I36" s="43">
        <v>5</v>
      </c>
    </row>
    <row r="37" spans="6:9" x14ac:dyDescent="0.25">
      <c r="F37" s="43"/>
      <c r="G37" s="43" t="s">
        <v>213</v>
      </c>
      <c r="H37" s="43" t="s">
        <v>548</v>
      </c>
      <c r="I37" s="43">
        <v>6</v>
      </c>
    </row>
    <row r="38" spans="6:9" x14ac:dyDescent="0.25">
      <c r="F38" s="43"/>
      <c r="G38" s="43" t="s">
        <v>213</v>
      </c>
      <c r="H38" s="43" t="s">
        <v>236</v>
      </c>
      <c r="I38" s="43">
        <v>7</v>
      </c>
    </row>
    <row r="39" spans="6:9" x14ac:dyDescent="0.25">
      <c r="F39" s="43"/>
      <c r="G39" s="43" t="s">
        <v>214</v>
      </c>
      <c r="H39" s="43" t="s">
        <v>548</v>
      </c>
      <c r="I39" s="43">
        <v>8</v>
      </c>
    </row>
    <row r="40" spans="6:9" x14ac:dyDescent="0.25">
      <c r="F40" s="43"/>
      <c r="G40" s="43" t="s">
        <v>214</v>
      </c>
      <c r="H40" s="43" t="s">
        <v>236</v>
      </c>
      <c r="I40" s="43">
        <v>9</v>
      </c>
    </row>
    <row r="41" spans="6:9" x14ac:dyDescent="0.25">
      <c r="F41" s="43"/>
      <c r="G41" s="43" t="s">
        <v>216</v>
      </c>
      <c r="H41" s="43" t="s">
        <v>548</v>
      </c>
      <c r="I41" s="43">
        <v>10</v>
      </c>
    </row>
    <row r="42" spans="6:9" x14ac:dyDescent="0.25">
      <c r="F42" s="43"/>
      <c r="G42" s="43" t="s">
        <v>216</v>
      </c>
      <c r="H42" s="43" t="s">
        <v>236</v>
      </c>
      <c r="I42" s="43">
        <v>11</v>
      </c>
    </row>
    <row r="43" spans="6:9" x14ac:dyDescent="0.25">
      <c r="F43" s="43"/>
      <c r="G43" s="43" t="s">
        <v>217</v>
      </c>
      <c r="H43" s="43" t="s">
        <v>548</v>
      </c>
      <c r="I43" s="43">
        <v>12</v>
      </c>
    </row>
    <row r="44" spans="6:9" x14ac:dyDescent="0.25">
      <c r="F44" s="43"/>
      <c r="G44" s="43" t="s">
        <v>217</v>
      </c>
      <c r="H44" s="43" t="s">
        <v>236</v>
      </c>
      <c r="I44" s="43">
        <v>13</v>
      </c>
    </row>
    <row r="45" spans="6:9" x14ac:dyDescent="0.25">
      <c r="F45" s="43"/>
      <c r="G45" s="43"/>
      <c r="H45" s="43"/>
      <c r="I45" s="43"/>
    </row>
    <row r="46" spans="6:9" x14ac:dyDescent="0.25">
      <c r="F46" s="49" t="s">
        <v>219</v>
      </c>
      <c r="G46" s="49" t="s">
        <v>551</v>
      </c>
      <c r="H46" s="49" t="s">
        <v>552</v>
      </c>
      <c r="I46" s="43"/>
    </row>
    <row r="47" spans="6:9" x14ac:dyDescent="0.25">
      <c r="F47" s="43"/>
      <c r="G47" s="43" t="s">
        <v>210</v>
      </c>
      <c r="H47" s="43" t="s">
        <v>553</v>
      </c>
      <c r="I47" s="43">
        <v>2</v>
      </c>
    </row>
    <row r="48" spans="6:9" x14ac:dyDescent="0.25">
      <c r="F48" s="43"/>
      <c r="G48" s="43" t="s">
        <v>211</v>
      </c>
      <c r="H48" s="43" t="s">
        <v>553</v>
      </c>
      <c r="I48" s="43">
        <v>3</v>
      </c>
    </row>
    <row r="49" spans="2:9" x14ac:dyDescent="0.25">
      <c r="F49" s="43"/>
      <c r="G49" s="43" t="s">
        <v>210</v>
      </c>
      <c r="H49" s="43" t="s">
        <v>238</v>
      </c>
      <c r="I49" s="43">
        <v>4</v>
      </c>
    </row>
    <row r="50" spans="2:9" x14ac:dyDescent="0.25">
      <c r="F50" s="43"/>
      <c r="G50" s="43" t="s">
        <v>211</v>
      </c>
      <c r="H50" s="43" t="s">
        <v>238</v>
      </c>
      <c r="I50" s="43">
        <v>5</v>
      </c>
    </row>
    <row r="51" spans="2:9" x14ac:dyDescent="0.25">
      <c r="F51" s="43"/>
      <c r="G51" s="43" t="s">
        <v>213</v>
      </c>
      <c r="H51" s="43" t="s">
        <v>553</v>
      </c>
      <c r="I51" s="43">
        <v>6</v>
      </c>
    </row>
    <row r="52" spans="2:9" x14ac:dyDescent="0.25">
      <c r="F52" s="43"/>
      <c r="G52" s="43" t="s">
        <v>213</v>
      </c>
      <c r="H52" s="43" t="s">
        <v>238</v>
      </c>
      <c r="I52" s="43">
        <v>7</v>
      </c>
    </row>
    <row r="53" spans="2:9" x14ac:dyDescent="0.25">
      <c r="F53" s="43"/>
      <c r="G53" s="43" t="s">
        <v>214</v>
      </c>
      <c r="H53" s="43" t="s">
        <v>553</v>
      </c>
      <c r="I53" s="43">
        <v>8</v>
      </c>
    </row>
    <row r="54" spans="2:9" x14ac:dyDescent="0.25">
      <c r="F54" s="43"/>
      <c r="G54" s="43" t="s">
        <v>214</v>
      </c>
      <c r="H54" s="43" t="s">
        <v>238</v>
      </c>
      <c r="I54" s="43">
        <v>9</v>
      </c>
    </row>
    <row r="55" spans="2:9" x14ac:dyDescent="0.25">
      <c r="F55" s="43"/>
      <c r="G55" s="43" t="s">
        <v>216</v>
      </c>
      <c r="H55" s="43" t="s">
        <v>553</v>
      </c>
      <c r="I55" s="43">
        <v>10</v>
      </c>
    </row>
    <row r="56" spans="2:9" x14ac:dyDescent="0.25">
      <c r="F56" s="43"/>
      <c r="G56" s="43" t="s">
        <v>216</v>
      </c>
      <c r="H56" s="43" t="s">
        <v>238</v>
      </c>
      <c r="I56" s="43">
        <v>11</v>
      </c>
    </row>
    <row r="57" spans="2:9" x14ac:dyDescent="0.25">
      <c r="F57" s="43"/>
      <c r="G57" s="43" t="s">
        <v>217</v>
      </c>
      <c r="H57" s="43" t="s">
        <v>553</v>
      </c>
      <c r="I57" s="43">
        <v>12</v>
      </c>
    </row>
    <row r="58" spans="2:9" x14ac:dyDescent="0.25">
      <c r="F58" s="43"/>
      <c r="G58" s="43" t="s">
        <v>217</v>
      </c>
      <c r="H58" s="43" t="s">
        <v>238</v>
      </c>
      <c r="I58" s="43">
        <v>13</v>
      </c>
    </row>
    <row r="60" spans="2:9" x14ac:dyDescent="0.25">
      <c r="B60" s="23" t="s">
        <v>138</v>
      </c>
      <c r="D60" s="23" t="s">
        <v>239</v>
      </c>
      <c r="F60" s="70" t="s">
        <v>240</v>
      </c>
      <c r="G60" s="70" t="s">
        <v>241</v>
      </c>
    </row>
    <row r="61" spans="2:9" x14ac:dyDescent="0.25">
      <c r="F61" s="57">
        <v>0</v>
      </c>
      <c r="G61" s="43">
        <v>1</v>
      </c>
    </row>
    <row r="62" spans="2:9" x14ac:dyDescent="0.25">
      <c r="F62" s="57" t="s">
        <v>242</v>
      </c>
      <c r="G62" s="43">
        <v>2</v>
      </c>
    </row>
    <row r="63" spans="2:9" x14ac:dyDescent="0.25">
      <c r="F63" s="57" t="s">
        <v>243</v>
      </c>
      <c r="G63" s="43">
        <v>3</v>
      </c>
    </row>
    <row r="64" spans="2:9" x14ac:dyDescent="0.25">
      <c r="F64" s="57" t="s">
        <v>244</v>
      </c>
      <c r="G64" s="43">
        <v>4</v>
      </c>
    </row>
    <row r="65" spans="2:7" x14ac:dyDescent="0.25">
      <c r="F65" s="57" t="s">
        <v>245</v>
      </c>
      <c r="G65" s="43">
        <v>5</v>
      </c>
    </row>
    <row r="66" spans="2:7" x14ac:dyDescent="0.25">
      <c r="F66" s="57" t="s">
        <v>246</v>
      </c>
      <c r="G66" s="43">
        <v>6</v>
      </c>
    </row>
    <row r="67" spans="2:7" x14ac:dyDescent="0.25">
      <c r="F67" s="57" t="s">
        <v>247</v>
      </c>
      <c r="G67" s="43">
        <v>7</v>
      </c>
    </row>
    <row r="68" spans="2:7" x14ac:dyDescent="0.25">
      <c r="F68" s="57" t="s">
        <v>248</v>
      </c>
      <c r="G68" s="43">
        <v>8</v>
      </c>
    </row>
    <row r="69" spans="2:7" x14ac:dyDescent="0.25">
      <c r="F69" s="43" t="s">
        <v>249</v>
      </c>
      <c r="G69" s="43">
        <v>9</v>
      </c>
    </row>
    <row r="70" spans="2:7" x14ac:dyDescent="0.25">
      <c r="F70" s="43" t="s">
        <v>252</v>
      </c>
      <c r="G70" s="43">
        <v>10</v>
      </c>
    </row>
    <row r="71" spans="2:7" x14ac:dyDescent="0.25">
      <c r="F71" s="43" t="s">
        <v>253</v>
      </c>
      <c r="G71" s="43">
        <v>11</v>
      </c>
    </row>
    <row r="72" spans="2:7" x14ac:dyDescent="0.25">
      <c r="F72" s="43" t="s">
        <v>254</v>
      </c>
      <c r="G72" s="43">
        <v>12</v>
      </c>
    </row>
    <row r="74" spans="2:7" x14ac:dyDescent="0.25">
      <c r="B74" s="23" t="s">
        <v>145</v>
      </c>
      <c r="D74" s="22" t="s">
        <v>271</v>
      </c>
      <c r="F74" s="70" t="s">
        <v>269</v>
      </c>
      <c r="G74" s="70" t="s">
        <v>270</v>
      </c>
    </row>
    <row r="75" spans="2:7" x14ac:dyDescent="0.25">
      <c r="D75" s="22"/>
      <c r="F75" s="43" t="s">
        <v>558</v>
      </c>
      <c r="G75" s="43" t="s">
        <v>559</v>
      </c>
    </row>
    <row r="76" spans="2:7" x14ac:dyDescent="0.25">
      <c r="F76" s="57">
        <v>0</v>
      </c>
      <c r="G76" s="43" t="s">
        <v>560</v>
      </c>
    </row>
    <row r="77" spans="2:7" x14ac:dyDescent="0.25">
      <c r="F77" s="57" t="s">
        <v>242</v>
      </c>
      <c r="G77" s="43" t="s">
        <v>561</v>
      </c>
    </row>
    <row r="78" spans="2:7" x14ac:dyDescent="0.25">
      <c r="F78" s="57" t="s">
        <v>243</v>
      </c>
      <c r="G78" s="43" t="s">
        <v>562</v>
      </c>
    </row>
    <row r="79" spans="2:7" x14ac:dyDescent="0.25">
      <c r="F79" s="57" t="s">
        <v>244</v>
      </c>
      <c r="G79" s="43" t="s">
        <v>563</v>
      </c>
    </row>
    <row r="80" spans="2:7" x14ac:dyDescent="0.25">
      <c r="F80" s="57" t="s">
        <v>245</v>
      </c>
      <c r="G80" s="43" t="s">
        <v>564</v>
      </c>
    </row>
    <row r="81" spans="2:10" x14ac:dyDescent="0.25">
      <c r="F81" s="57" t="s">
        <v>246</v>
      </c>
      <c r="G81" s="43" t="s">
        <v>565</v>
      </c>
    </row>
    <row r="82" spans="2:10" x14ac:dyDescent="0.25">
      <c r="F82" s="57" t="s">
        <v>247</v>
      </c>
      <c r="G82" s="43" t="s">
        <v>566</v>
      </c>
    </row>
    <row r="83" spans="2:10" x14ac:dyDescent="0.25">
      <c r="F83" s="57" t="s">
        <v>248</v>
      </c>
      <c r="G83" s="43" t="s">
        <v>567</v>
      </c>
    </row>
    <row r="84" spans="2:10" x14ac:dyDescent="0.25">
      <c r="F84" s="43" t="s">
        <v>249</v>
      </c>
      <c r="G84" s="43" t="s">
        <v>568</v>
      </c>
    </row>
    <row r="85" spans="2:10" x14ac:dyDescent="0.25">
      <c r="F85" s="43" t="s">
        <v>252</v>
      </c>
      <c r="G85" s="43" t="s">
        <v>569</v>
      </c>
    </row>
    <row r="86" spans="2:10" x14ac:dyDescent="0.25">
      <c r="F86" s="43" t="s">
        <v>253</v>
      </c>
      <c r="G86" s="43" t="s">
        <v>570</v>
      </c>
    </row>
    <row r="87" spans="2:10" x14ac:dyDescent="0.25">
      <c r="F87" s="43" t="s">
        <v>254</v>
      </c>
      <c r="G87" s="43" t="s">
        <v>571</v>
      </c>
    </row>
    <row r="90" spans="2:10" ht="30" x14ac:dyDescent="0.25">
      <c r="B90" s="23" t="s">
        <v>155</v>
      </c>
      <c r="D90" t="s">
        <v>275</v>
      </c>
      <c r="F90" s="69" t="s">
        <v>293</v>
      </c>
      <c r="G90" s="45" t="s">
        <v>280</v>
      </c>
      <c r="H90" s="141" t="s">
        <v>294</v>
      </c>
      <c r="I90" s="141"/>
      <c r="J90" s="141"/>
    </row>
    <row r="91" spans="2:10" x14ac:dyDescent="0.25">
      <c r="F91" s="59" t="s">
        <v>276</v>
      </c>
      <c r="G91" s="43">
        <v>120</v>
      </c>
      <c r="H91" s="140" t="s">
        <v>572</v>
      </c>
      <c r="I91" s="140"/>
      <c r="J91" s="140"/>
    </row>
    <row r="92" spans="2:10" x14ac:dyDescent="0.25">
      <c r="F92" s="59" t="s">
        <v>277</v>
      </c>
      <c r="G92" s="43">
        <v>108</v>
      </c>
      <c r="H92" s="140" t="s">
        <v>573</v>
      </c>
      <c r="I92" s="140"/>
      <c r="J92" s="140"/>
    </row>
    <row r="93" spans="2:10" x14ac:dyDescent="0.25">
      <c r="F93" s="59" t="s">
        <v>278</v>
      </c>
      <c r="G93" s="43">
        <v>96</v>
      </c>
      <c r="H93" s="140" t="s">
        <v>574</v>
      </c>
      <c r="I93" s="140"/>
      <c r="J93" s="140"/>
    </row>
    <row r="94" spans="2:10" x14ac:dyDescent="0.25">
      <c r="F94" s="59" t="s">
        <v>279</v>
      </c>
      <c r="G94" s="43">
        <v>84</v>
      </c>
      <c r="H94" s="140" t="s">
        <v>575</v>
      </c>
      <c r="I94" s="140"/>
      <c r="J94" s="140"/>
    </row>
    <row r="95" spans="2:10" x14ac:dyDescent="0.25">
      <c r="F95" s="59" t="s">
        <v>281</v>
      </c>
      <c r="G95" s="43">
        <v>72</v>
      </c>
      <c r="H95" s="140" t="s">
        <v>576</v>
      </c>
      <c r="I95" s="140"/>
      <c r="J95" s="140"/>
    </row>
    <row r="96" spans="2:10" x14ac:dyDescent="0.25">
      <c r="F96" s="59" t="s">
        <v>282</v>
      </c>
      <c r="G96" s="43">
        <v>60</v>
      </c>
      <c r="H96" s="140" t="s">
        <v>577</v>
      </c>
      <c r="I96" s="140"/>
      <c r="J96" s="140"/>
    </row>
    <row r="97" spans="2:10" x14ac:dyDescent="0.25">
      <c r="F97" s="59" t="s">
        <v>283</v>
      </c>
      <c r="G97" s="43">
        <v>48</v>
      </c>
      <c r="H97" s="140" t="s">
        <v>578</v>
      </c>
      <c r="I97" s="140"/>
      <c r="J97" s="140"/>
    </row>
    <row r="98" spans="2:10" x14ac:dyDescent="0.25">
      <c r="F98" s="59" t="s">
        <v>284</v>
      </c>
      <c r="G98" s="43">
        <v>36</v>
      </c>
      <c r="H98" s="140" t="s">
        <v>579</v>
      </c>
      <c r="I98" s="140"/>
      <c r="J98" s="140"/>
    </row>
    <row r="99" spans="2:10" x14ac:dyDescent="0.25">
      <c r="F99" s="59" t="s">
        <v>285</v>
      </c>
      <c r="G99" s="43">
        <v>24</v>
      </c>
      <c r="H99" s="140" t="s">
        <v>580</v>
      </c>
      <c r="I99" s="140"/>
      <c r="J99" s="140"/>
    </row>
    <row r="100" spans="2:10" x14ac:dyDescent="0.25">
      <c r="F100" s="59" t="s">
        <v>286</v>
      </c>
      <c r="G100" s="43">
        <v>12</v>
      </c>
      <c r="H100" s="140" t="s">
        <v>581</v>
      </c>
      <c r="I100" s="140"/>
      <c r="J100" s="140"/>
    </row>
    <row r="101" spans="2:10" x14ac:dyDescent="0.25">
      <c r="F101" s="59" t="s">
        <v>287</v>
      </c>
      <c r="G101" s="43">
        <v>9</v>
      </c>
      <c r="H101" s="140" t="s">
        <v>582</v>
      </c>
      <c r="I101" s="140"/>
      <c r="J101" s="140"/>
    </row>
    <row r="102" spans="2:10" x14ac:dyDescent="0.25">
      <c r="F102" s="59" t="s">
        <v>288</v>
      </c>
      <c r="G102" s="43">
        <v>6</v>
      </c>
      <c r="H102" s="140" t="s">
        <v>583</v>
      </c>
      <c r="I102" s="140"/>
      <c r="J102" s="140"/>
    </row>
    <row r="103" spans="2:10" x14ac:dyDescent="0.25">
      <c r="F103" s="59" t="s">
        <v>289</v>
      </c>
      <c r="G103" s="43">
        <v>3</v>
      </c>
      <c r="H103" s="140" t="s">
        <v>584</v>
      </c>
      <c r="I103" s="140"/>
      <c r="J103" s="140"/>
    </row>
    <row r="104" spans="2:10" x14ac:dyDescent="0.25">
      <c r="F104" s="59" t="s">
        <v>290</v>
      </c>
      <c r="G104" s="43">
        <v>1</v>
      </c>
      <c r="H104" s="140" t="s">
        <v>585</v>
      </c>
      <c r="I104" s="140"/>
      <c r="J104" s="140"/>
    </row>
    <row r="105" spans="2:10" x14ac:dyDescent="0.25">
      <c r="F105" s="59" t="s">
        <v>291</v>
      </c>
      <c r="G105" s="43" t="s">
        <v>292</v>
      </c>
      <c r="H105" s="140" t="s">
        <v>586</v>
      </c>
      <c r="I105" s="140"/>
      <c r="J105" s="140"/>
    </row>
    <row r="106" spans="2:10" x14ac:dyDescent="0.25">
      <c r="F106" s="59" t="s">
        <v>299</v>
      </c>
      <c r="G106" s="43" t="s">
        <v>300</v>
      </c>
      <c r="H106" s="140" t="s">
        <v>587</v>
      </c>
      <c r="I106" s="140"/>
      <c r="J106" s="140"/>
    </row>
    <row r="108" spans="2:10" x14ac:dyDescent="0.25">
      <c r="B108" s="23" t="s">
        <v>162</v>
      </c>
      <c r="D108" s="22" t="s">
        <v>312</v>
      </c>
    </row>
    <row r="109" spans="2:10" ht="30" x14ac:dyDescent="0.25">
      <c r="F109" s="70" t="s">
        <v>83</v>
      </c>
      <c r="G109" s="61" t="s">
        <v>195</v>
      </c>
      <c r="H109" s="61" t="s">
        <v>310</v>
      </c>
    </row>
    <row r="110" spans="2:10" x14ac:dyDescent="0.25">
      <c r="F110" s="43">
        <v>1</v>
      </c>
      <c r="G110" s="43" t="s">
        <v>265</v>
      </c>
      <c r="H110" s="73">
        <v>0.02</v>
      </c>
    </row>
    <row r="111" spans="2:10" x14ac:dyDescent="0.25">
      <c r="F111" s="43">
        <v>2</v>
      </c>
      <c r="G111" s="43" t="s">
        <v>255</v>
      </c>
      <c r="H111" s="73">
        <v>0.03</v>
      </c>
    </row>
    <row r="112" spans="2:10" x14ac:dyDescent="0.25">
      <c r="F112" s="43">
        <v>3</v>
      </c>
      <c r="G112" s="43" t="s">
        <v>256</v>
      </c>
      <c r="H112" s="73">
        <v>0.06</v>
      </c>
    </row>
    <row r="113" spans="2:8" x14ac:dyDescent="0.25">
      <c r="F113" s="43">
        <v>4</v>
      </c>
      <c r="G113" s="43" t="s">
        <v>258</v>
      </c>
      <c r="H113" s="73">
        <v>0.1</v>
      </c>
    </row>
    <row r="114" spans="2:8" x14ac:dyDescent="0.25">
      <c r="F114" s="43">
        <v>5</v>
      </c>
      <c r="G114" s="43" t="s">
        <v>257</v>
      </c>
      <c r="H114" s="73">
        <v>0.15</v>
      </c>
    </row>
    <row r="115" spans="2:8" x14ac:dyDescent="0.25">
      <c r="F115" s="43">
        <v>6</v>
      </c>
      <c r="G115" s="43" t="s">
        <v>259</v>
      </c>
      <c r="H115" s="73">
        <v>0.19</v>
      </c>
    </row>
    <row r="116" spans="2:8" x14ac:dyDescent="0.25">
      <c r="F116" s="43">
        <v>7</v>
      </c>
      <c r="G116" s="43" t="s">
        <v>260</v>
      </c>
      <c r="H116" s="73">
        <v>0.23</v>
      </c>
    </row>
    <row r="117" spans="2:8" x14ac:dyDescent="0.25">
      <c r="F117" s="43">
        <v>7</v>
      </c>
      <c r="G117" s="43" t="s">
        <v>261</v>
      </c>
      <c r="H117" s="73">
        <v>0.27</v>
      </c>
    </row>
    <row r="118" spans="2:8" x14ac:dyDescent="0.25">
      <c r="F118" s="43">
        <v>8</v>
      </c>
      <c r="G118" s="43" t="s">
        <v>262</v>
      </c>
      <c r="H118" s="73">
        <v>0.3</v>
      </c>
    </row>
    <row r="119" spans="2:8" x14ac:dyDescent="0.25">
      <c r="F119" s="43">
        <v>7</v>
      </c>
      <c r="G119" s="43" t="s">
        <v>263</v>
      </c>
      <c r="H119" s="73">
        <v>0.3</v>
      </c>
    </row>
    <row r="120" spans="2:8" x14ac:dyDescent="0.25">
      <c r="F120" s="43">
        <v>8</v>
      </c>
      <c r="G120" s="43" t="s">
        <v>264</v>
      </c>
      <c r="H120" s="73">
        <v>0.3</v>
      </c>
    </row>
    <row r="122" spans="2:8" x14ac:dyDescent="0.25">
      <c r="B122" s="23" t="s">
        <v>168</v>
      </c>
      <c r="D122" s="22" t="s">
        <v>304</v>
      </c>
      <c r="F122" s="49" t="s">
        <v>313</v>
      </c>
      <c r="G122" s="59"/>
    </row>
    <row r="123" spans="2:8" x14ac:dyDescent="0.25">
      <c r="F123" s="43" t="s">
        <v>314</v>
      </c>
      <c r="G123" s="59" t="s">
        <v>315</v>
      </c>
    </row>
    <row r="124" spans="2:8" x14ac:dyDescent="0.25">
      <c r="F124" s="43" t="s">
        <v>316</v>
      </c>
      <c r="G124" s="59" t="s">
        <v>318</v>
      </c>
    </row>
    <row r="125" spans="2:8" x14ac:dyDescent="0.25">
      <c r="F125" s="43" t="s">
        <v>317</v>
      </c>
      <c r="G125" s="59" t="s">
        <v>319</v>
      </c>
    </row>
    <row r="126" spans="2:8" x14ac:dyDescent="0.25">
      <c r="F126" s="43" t="s">
        <v>320</v>
      </c>
      <c r="G126" s="59" t="s">
        <v>321</v>
      </c>
    </row>
    <row r="127" spans="2:8" x14ac:dyDescent="0.25">
      <c r="F127" s="43" t="s">
        <v>322</v>
      </c>
      <c r="G127" s="59" t="s">
        <v>323</v>
      </c>
    </row>
    <row r="128" spans="2:8" x14ac:dyDescent="0.25">
      <c r="F128" s="43" t="s">
        <v>324</v>
      </c>
      <c r="G128" s="59" t="s">
        <v>325</v>
      </c>
    </row>
    <row r="130" spans="2:9" x14ac:dyDescent="0.25">
      <c r="B130" s="23" t="s">
        <v>273</v>
      </c>
      <c r="D130" t="s">
        <v>331</v>
      </c>
      <c r="F130" s="49" t="s">
        <v>332</v>
      </c>
      <c r="G130" s="49" t="s">
        <v>188</v>
      </c>
      <c r="H130" s="49" t="s">
        <v>333</v>
      </c>
    </row>
    <row r="131" spans="2:9" x14ac:dyDescent="0.25">
      <c r="F131" s="43" t="s">
        <v>599</v>
      </c>
      <c r="G131" s="43" t="s">
        <v>86</v>
      </c>
      <c r="H131" s="75">
        <v>29240</v>
      </c>
      <c r="I131" s="74" t="s">
        <v>335</v>
      </c>
    </row>
    <row r="132" spans="2:9" x14ac:dyDescent="0.25">
      <c r="F132" s="43" t="s">
        <v>599</v>
      </c>
      <c r="G132" s="43" t="s">
        <v>334</v>
      </c>
      <c r="H132" s="75">
        <v>30240</v>
      </c>
      <c r="I132" s="74" t="s">
        <v>335</v>
      </c>
    </row>
    <row r="133" spans="2:9" x14ac:dyDescent="0.25">
      <c r="F133" s="43" t="s">
        <v>600</v>
      </c>
      <c r="G133" s="43" t="s">
        <v>86</v>
      </c>
      <c r="H133" s="75">
        <v>30450</v>
      </c>
      <c r="I133" s="74" t="s">
        <v>335</v>
      </c>
    </row>
    <row r="134" spans="2:9" x14ac:dyDescent="0.25">
      <c r="F134" s="43" t="s">
        <v>600</v>
      </c>
      <c r="G134" s="43" t="s">
        <v>334</v>
      </c>
      <c r="H134" s="75">
        <v>31450</v>
      </c>
      <c r="I134" s="74" t="s">
        <v>335</v>
      </c>
    </row>
    <row r="136" spans="2:9" x14ac:dyDescent="0.25">
      <c r="B136" s="23" t="s">
        <v>402</v>
      </c>
      <c r="D136" t="s">
        <v>400</v>
      </c>
      <c r="F136" s="70" t="s">
        <v>400</v>
      </c>
      <c r="G136" s="70" t="s">
        <v>403</v>
      </c>
      <c r="H136" s="70" t="s">
        <v>406</v>
      </c>
    </row>
    <row r="137" spans="2:9" x14ac:dyDescent="0.25">
      <c r="F137" s="43" t="s">
        <v>399</v>
      </c>
      <c r="G137" s="43" t="s">
        <v>87</v>
      </c>
      <c r="H137" s="43">
        <v>8</v>
      </c>
    </row>
    <row r="138" spans="2:9" x14ac:dyDescent="0.25">
      <c r="F138" s="43" t="s">
        <v>399</v>
      </c>
      <c r="G138" s="43" t="s">
        <v>88</v>
      </c>
      <c r="H138" s="43">
        <v>7</v>
      </c>
    </row>
    <row r="139" spans="2:9" x14ac:dyDescent="0.25">
      <c r="F139" s="43" t="s">
        <v>399</v>
      </c>
      <c r="G139" s="43" t="s">
        <v>404</v>
      </c>
      <c r="H139" s="43">
        <v>5</v>
      </c>
    </row>
    <row r="140" spans="2:9" x14ac:dyDescent="0.25">
      <c r="F140" s="43" t="s">
        <v>399</v>
      </c>
      <c r="G140" s="43" t="s">
        <v>405</v>
      </c>
      <c r="H140" s="43">
        <v>2</v>
      </c>
    </row>
  </sheetData>
  <mergeCells count="17">
    <mergeCell ref="H106:J106"/>
    <mergeCell ref="H97:J97"/>
    <mergeCell ref="H99:J99"/>
    <mergeCell ref="H100:J100"/>
    <mergeCell ref="H101:J101"/>
    <mergeCell ref="H98:J98"/>
    <mergeCell ref="H102:J102"/>
    <mergeCell ref="H103:J103"/>
    <mergeCell ref="H104:J104"/>
    <mergeCell ref="H105:J105"/>
    <mergeCell ref="H95:J95"/>
    <mergeCell ref="H96:J96"/>
    <mergeCell ref="H90:J90"/>
    <mergeCell ref="H91:J91"/>
    <mergeCell ref="H92:J92"/>
    <mergeCell ref="H93:J93"/>
    <mergeCell ref="H94:J9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2E6AF-109D-48D7-86C2-08FB7CCB38F8}">
  <dimension ref="B1:F27"/>
  <sheetViews>
    <sheetView workbookViewId="0">
      <selection activeCell="O30" sqref="N30:O30"/>
    </sheetView>
  </sheetViews>
  <sheetFormatPr defaultRowHeight="15" x14ac:dyDescent="0.25"/>
  <cols>
    <col min="2" max="2" width="23.85546875" customWidth="1"/>
    <col min="3" max="3" width="25.140625" customWidth="1"/>
    <col min="4" max="4" width="37" customWidth="1"/>
    <col min="5" max="5" width="19.5703125" customWidth="1"/>
    <col min="6" max="6" width="28.140625" customWidth="1"/>
  </cols>
  <sheetData>
    <row r="1" spans="2:6" x14ac:dyDescent="0.25">
      <c r="B1" t="s">
        <v>26</v>
      </c>
    </row>
    <row r="3" spans="2:6" x14ac:dyDescent="0.25">
      <c r="B3" t="s">
        <v>27</v>
      </c>
    </row>
    <row r="4" spans="2:6" x14ac:dyDescent="0.25">
      <c r="B4" s="23" t="s">
        <v>28</v>
      </c>
      <c r="C4" t="s">
        <v>29</v>
      </c>
      <c r="D4" t="s">
        <v>30</v>
      </c>
      <c r="E4" t="s">
        <v>31</v>
      </c>
      <c r="F4" t="s">
        <v>32</v>
      </c>
    </row>
    <row r="5" spans="2:6" x14ac:dyDescent="0.25">
      <c r="B5" s="23" t="s">
        <v>33</v>
      </c>
      <c r="C5" t="s">
        <v>34</v>
      </c>
      <c r="D5" t="s">
        <v>35</v>
      </c>
      <c r="E5" t="s">
        <v>36</v>
      </c>
      <c r="F5" s="22" t="s">
        <v>37</v>
      </c>
    </row>
    <row r="6" spans="2:6" x14ac:dyDescent="0.25">
      <c r="B6" s="23" t="s">
        <v>38</v>
      </c>
      <c r="C6" t="s">
        <v>39</v>
      </c>
      <c r="D6" t="s">
        <v>40</v>
      </c>
      <c r="E6" s="21">
        <v>381.41</v>
      </c>
      <c r="F6" s="22" t="s">
        <v>41</v>
      </c>
    </row>
    <row r="7" spans="2:6" x14ac:dyDescent="0.25">
      <c r="B7" s="23" t="s">
        <v>42</v>
      </c>
      <c r="C7" t="s">
        <v>43</v>
      </c>
      <c r="D7" t="s">
        <v>44</v>
      </c>
      <c r="E7" t="s">
        <v>45</v>
      </c>
      <c r="F7" s="22" t="s">
        <v>46</v>
      </c>
    </row>
    <row r="8" spans="2:6" x14ac:dyDescent="0.25">
      <c r="B8" s="25" t="s">
        <v>47</v>
      </c>
      <c r="C8" s="26" t="s">
        <v>48</v>
      </c>
      <c r="D8" s="26" t="s">
        <v>49</v>
      </c>
      <c r="E8" s="26" t="s">
        <v>50</v>
      </c>
      <c r="F8" s="27" t="s">
        <v>51</v>
      </c>
    </row>
    <row r="9" spans="2:6" x14ac:dyDescent="0.25">
      <c r="B9" s="23" t="s">
        <v>52</v>
      </c>
      <c r="C9" t="s">
        <v>53</v>
      </c>
      <c r="D9" t="s">
        <v>54</v>
      </c>
      <c r="E9" t="s">
        <v>55</v>
      </c>
      <c r="F9" s="22" t="s">
        <v>56</v>
      </c>
    </row>
    <row r="10" spans="2:6" x14ac:dyDescent="0.25">
      <c r="B10" s="23" t="s">
        <v>57</v>
      </c>
      <c r="C10" t="s">
        <v>58</v>
      </c>
      <c r="D10" t="s">
        <v>59</v>
      </c>
      <c r="E10" t="s">
        <v>60</v>
      </c>
      <c r="F10" s="21">
        <v>3582.92</v>
      </c>
    </row>
    <row r="11" spans="2:6" x14ac:dyDescent="0.25">
      <c r="B11" s="23" t="s">
        <v>61</v>
      </c>
      <c r="C11" t="s">
        <v>62</v>
      </c>
      <c r="D11" t="s">
        <v>63</v>
      </c>
      <c r="E11" t="s">
        <v>64</v>
      </c>
      <c r="F11" s="22" t="s">
        <v>65</v>
      </c>
    </row>
    <row r="12" spans="2:6" x14ac:dyDescent="0.25">
      <c r="B12" s="23" t="s">
        <v>66</v>
      </c>
      <c r="C12" t="s">
        <v>67</v>
      </c>
      <c r="D12" t="s">
        <v>68</v>
      </c>
      <c r="E12" t="s">
        <v>69</v>
      </c>
      <c r="F12" s="22" t="s">
        <v>70</v>
      </c>
    </row>
    <row r="15" spans="2:6" x14ac:dyDescent="0.25">
      <c r="B15" t="s">
        <v>71</v>
      </c>
    </row>
    <row r="16" spans="2:6" x14ac:dyDescent="0.25">
      <c r="B16" t="s">
        <v>28</v>
      </c>
      <c r="C16" t="s">
        <v>72</v>
      </c>
    </row>
    <row r="17" spans="2:3" x14ac:dyDescent="0.25">
      <c r="B17" t="s">
        <v>33</v>
      </c>
      <c r="C17" t="s">
        <v>73</v>
      </c>
    </row>
    <row r="18" spans="2:3" x14ac:dyDescent="0.25">
      <c r="B18" t="s">
        <v>38</v>
      </c>
      <c r="C18" t="s">
        <v>74</v>
      </c>
    </row>
    <row r="19" spans="2:3" x14ac:dyDescent="0.25">
      <c r="B19" t="s">
        <v>42</v>
      </c>
      <c r="C19" t="s">
        <v>75</v>
      </c>
    </row>
    <row r="20" spans="2:3" x14ac:dyDescent="0.25">
      <c r="B20" t="s">
        <v>47</v>
      </c>
      <c r="C20" t="s">
        <v>76</v>
      </c>
    </row>
    <row r="21" spans="2:3" x14ac:dyDescent="0.25">
      <c r="B21" t="s">
        <v>52</v>
      </c>
      <c r="C21" t="s">
        <v>77</v>
      </c>
    </row>
    <row r="22" spans="2:3" x14ac:dyDescent="0.25">
      <c r="B22" t="s">
        <v>57</v>
      </c>
      <c r="C22" t="s">
        <v>78</v>
      </c>
    </row>
    <row r="23" spans="2:3" x14ac:dyDescent="0.25">
      <c r="B23" t="s">
        <v>61</v>
      </c>
      <c r="C23" t="s">
        <v>79</v>
      </c>
    </row>
    <row r="24" spans="2:3" x14ac:dyDescent="0.25">
      <c r="B24" t="s">
        <v>66</v>
      </c>
      <c r="C24" t="s">
        <v>80</v>
      </c>
    </row>
    <row r="27" spans="2:3" x14ac:dyDescent="0.25">
      <c r="B27" s="24" t="s">
        <v>81</v>
      </c>
    </row>
  </sheetData>
  <hyperlinks>
    <hyperlink ref="B27" r:id="rId1" xr:uid="{227B6426-AAE1-4FC3-B73C-13C94C0AA2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ASSESSMENT PAGE</vt:lpstr>
      <vt:lpstr>LINKED NOTIONALS</vt:lpstr>
      <vt:lpstr>PROFILING CATEGORIES</vt:lpstr>
      <vt:lpstr>Council 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Perrier</dc:creator>
  <cp:lastModifiedBy>Charlotte Perrier</cp:lastModifiedBy>
  <dcterms:created xsi:type="dcterms:W3CDTF">2026-02-20T12:49:43Z</dcterms:created>
  <dcterms:modified xsi:type="dcterms:W3CDTF">2026-05-18T22:00:12Z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f4768ab-427b-4ee0-bddd-0754a4531753_Enabled">
    <vt:lpwstr>true</vt:lpwstr>
  </property>
  <property fmtid="{D5CDD505-2E9C-101B-9397-08002B2CF9AE}" pid="3" name="MSIP_Label_3f4768ab-427b-4ee0-bddd-0754a4531753_SetDate">
    <vt:lpwstr>2026-02-20T12:59:16Z</vt:lpwstr>
  </property>
  <property fmtid="{D5CDD505-2E9C-101B-9397-08002B2CF9AE}" pid="4" name="MSIP_Label_3f4768ab-427b-4ee0-bddd-0754a4531753_Method">
    <vt:lpwstr>Standard</vt:lpwstr>
  </property>
  <property fmtid="{D5CDD505-2E9C-101B-9397-08002B2CF9AE}" pid="5" name="MSIP_Label_3f4768ab-427b-4ee0-bddd-0754a4531753_Name">
    <vt:lpwstr>Public</vt:lpwstr>
  </property>
  <property fmtid="{D5CDD505-2E9C-101B-9397-08002B2CF9AE}" pid="6" name="MSIP_Label_3f4768ab-427b-4ee0-bddd-0754a4531753_SiteId">
    <vt:lpwstr>001be2fd-66ca-429d-878d-5171d0d1e068</vt:lpwstr>
  </property>
  <property fmtid="{D5CDD505-2E9C-101B-9397-08002B2CF9AE}" pid="7" name="MSIP_Label_3f4768ab-427b-4ee0-bddd-0754a4531753_ActionId">
    <vt:lpwstr>3d454541-fde6-45d3-83b3-051d8aeb8db1</vt:lpwstr>
  </property>
  <property fmtid="{D5CDD505-2E9C-101B-9397-08002B2CF9AE}" pid="8" name="MSIP_Label_3f4768ab-427b-4ee0-bddd-0754a4531753_ContentBits">
    <vt:lpwstr>0</vt:lpwstr>
  </property>
  <property fmtid="{D5CDD505-2E9C-101B-9397-08002B2CF9AE}" pid="9" name="MSIP_Label_3f4768ab-427b-4ee0-bddd-0754a4531753_Tag">
    <vt:lpwstr>10, 3, 0, 1</vt:lpwstr>
  </property>
</Properties>
</file>