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whitgiftfoundation-my.sharepoint.com/personal/charlotteperrier_johnwhitgiftfoundation_org/Documents/Documents/"/>
    </mc:Choice>
  </mc:AlternateContent>
  <xr:revisionPtr revIDLastSave="64" documentId="8_{4CAF9CDF-F25A-451D-AECE-01679CBB743B}" xr6:coauthVersionLast="47" xr6:coauthVersionMax="47" xr10:uidLastSave="{F688933C-464C-4084-898E-FCAC76F003AE}"/>
  <bookViews>
    <workbookView xWindow="28680" yWindow="-120" windowWidth="29040" windowHeight="15720" xr2:uid="{C6ABE414-1C7C-47DC-AAD7-A8FB785B48A4}"/>
  </bookViews>
  <sheets>
    <sheet name="assessment logic" sheetId="1" r:id="rId1"/>
    <sheet name="property table" sheetId="4" r:id="rId2"/>
    <sheet name="tables" sheetId="2" r:id="rId3"/>
    <sheet name="Council Tax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" l="1"/>
  <c r="F13" i="2"/>
  <c r="E13" i="2"/>
  <c r="D13" i="2"/>
  <c r="C13" i="2"/>
  <c r="B13" i="2"/>
</calcChain>
</file>

<file path=xl/sharedStrings.xml><?xml version="1.0" encoding="utf-8"?>
<sst xmlns="http://schemas.openxmlformats.org/spreadsheetml/2006/main" count="159" uniqueCount="138">
  <si>
    <t>INCOME SECTION</t>
  </si>
  <si>
    <t>FIRST EARNER</t>
  </si>
  <si>
    <t>SECOND EARNER</t>
  </si>
  <si>
    <t>IF UNEMPLOYED &amp; NOT ON BENEFITS</t>
  </si>
  <si>
    <t>NO CHANGE</t>
  </si>
  <si>
    <t>IF PAYE STATUS</t>
  </si>
  <si>
    <t>ADD YEARLY NET PAY</t>
  </si>
  <si>
    <t>IF ON BENEFITS</t>
  </si>
  <si>
    <t>ADD YEARLY HB OR UC ENTITLEMENT* (do not include ctax)</t>
  </si>
  <si>
    <t>(* HB paid every 4 weeks, UC paid every 4 weeks but monthly amount with one period of 8 weeks rest)</t>
  </si>
  <si>
    <t>ADD TAX CREDITS (WORKING &amp; CHILD)</t>
  </si>
  <si>
    <t>ADD YEARLY INCOME SUPPORT</t>
  </si>
  <si>
    <t>ADD YEARLY JSA</t>
  </si>
  <si>
    <t>ADD YEARLY DISABILITY ALLOWANCE</t>
  </si>
  <si>
    <t>ADD OTHER BENEFITS (ESA, carers', others)</t>
  </si>
  <si>
    <t>IF SELF-EMPLOYED &amp; A DIRECTOR</t>
  </si>
  <si>
    <t xml:space="preserve">ADD NET SALARY </t>
  </si>
  <si>
    <t>ADD NET DIVIDENDS AFTER TAX</t>
  </si>
  <si>
    <t>IF SELF-EMPLOYED &amp; A PARTNER OR SOLE TRADER</t>
  </si>
  <si>
    <t>ADD YEARLY COMPANY NET PROFITS AFTER TAX</t>
  </si>
  <si>
    <t>IF IN RECEIPT OF AN OLD AGE PENSION*</t>
  </si>
  <si>
    <t>ADD YEARLY PENSION PAYMENTS</t>
  </si>
  <si>
    <t>IF IN RECEIPT OF A PAST EMPLOYMENT PENSION</t>
  </si>
  <si>
    <t>ADD PENSION AMOUNT AS STATED ON P60</t>
  </si>
  <si>
    <t>TOTAL HOUSEHOLD NET INCOME</t>
  </si>
  <si>
    <t>AUTO</t>
  </si>
  <si>
    <t>NET ASSETS POSITION</t>
  </si>
  <si>
    <t>FAMILY TYPE CATEGORY</t>
  </si>
  <si>
    <t>ENTER A FIGURE BETWEEN 1 AND 6</t>
  </si>
  <si>
    <t>PROPERTY SECTION</t>
  </si>
  <si>
    <r>
      <rPr>
        <b/>
        <sz val="10"/>
        <color rgb="FFFF0000"/>
        <rFont val="Aptos Narrow"/>
        <family val="2"/>
        <scheme val="minor"/>
      </rPr>
      <t xml:space="preserve">DEDUCT </t>
    </r>
    <r>
      <rPr>
        <sz val="10"/>
        <color theme="1"/>
        <rFont val="Aptos Narrow"/>
        <family val="2"/>
        <scheme val="minor"/>
      </rPr>
      <t>NOTIONAL RENT AUTOMATICALLY FILLED IN</t>
    </r>
  </si>
  <si>
    <t>IF THE OWNED PROPERTY IS MORTGAGE FREE</t>
  </si>
  <si>
    <t>IF MORE THAN ONE PROPERTY IS OWNED</t>
  </si>
  <si>
    <t>ADD BACK IN THE ADDITIONAL YEARLY PROPERTY INCOME</t>
  </si>
  <si>
    <t>SAVINGS SECTION</t>
  </si>
  <si>
    <t>CASH SAVINGS AT THE BANK</t>
  </si>
  <si>
    <t xml:space="preserve">ADD IN TOTAL </t>
  </si>
  <si>
    <t>TOTAL IN ISAS, PEPS, SHARES</t>
  </si>
  <si>
    <t>NUMBER OF CHILDREN AT A SCHOOLING AGE</t>
  </si>
  <si>
    <t>NUMBER OF SCHOOLING YEARS LEFT FOR THE BURSARY RECIPIENT</t>
  </si>
  <si>
    <r>
      <rPr>
        <b/>
        <sz val="10"/>
        <color rgb="FF00B050"/>
        <rFont val="Aptos Narrow"/>
        <family val="2"/>
        <scheme val="minor"/>
      </rPr>
      <t>ADD BACK IN</t>
    </r>
    <r>
      <rPr>
        <sz val="10"/>
        <color theme="1"/>
        <rFont val="Aptos Narrow"/>
        <family val="2"/>
        <scheme val="minor"/>
      </rPr>
      <t xml:space="preserve"> DERIVED SAVINGS ANNUAL TOTAL</t>
    </r>
  </si>
  <si>
    <t>TOTAL RELEVANT NET ASSETS YEARLY VALUATION</t>
  </si>
  <si>
    <t>FAMILY LIVING COSTS ADJUSTMENTS</t>
  </si>
  <si>
    <t xml:space="preserve">UTILITY &amp; FOOD COSTS  </t>
  </si>
  <si>
    <r>
      <rPr>
        <b/>
        <sz val="10"/>
        <color rgb="FFFF0000"/>
        <rFont val="Aptos Narrow"/>
        <family val="2"/>
        <scheme val="minor"/>
      </rPr>
      <t>DEDUCT</t>
    </r>
    <r>
      <rPr>
        <sz val="10"/>
        <color theme="1"/>
        <rFont val="Aptos Narrow"/>
        <family val="2"/>
        <scheme val="minor"/>
      </rPr>
      <t xml:space="preserve"> NOTIONAL UTILITY AND FOOD COSTS</t>
    </r>
  </si>
  <si>
    <t xml:space="preserve"> BURSARY IMPACT ON FINANCIAL PROFILE SECTION</t>
  </si>
  <si>
    <t>ANNUAL SCHOOL FEES</t>
  </si>
  <si>
    <t>REQUIRED BURSARY LEVEL TO BREAK EVEN</t>
  </si>
  <si>
    <t>to deduct value of C26</t>
  </si>
  <si>
    <t>sole parent with 1 child</t>
  </si>
  <si>
    <t>parents with 1 child</t>
  </si>
  <si>
    <t>parents with 2 children</t>
  </si>
  <si>
    <t>parents with 3 children</t>
  </si>
  <si>
    <t xml:space="preserve">parents with 4 children </t>
  </si>
  <si>
    <t>parents with 5 children or more</t>
  </si>
  <si>
    <t>FAMILY CATEGORIES:</t>
  </si>
  <si>
    <t>ANNUAL NOTIONAL RENTS</t>
  </si>
  <si>
    <t>Council tax bands 2025 to 2026</t>
  </si>
  <si>
    <t>The total amount of Council Tax due for each property band.</t>
  </si>
  <si>
    <t>Band</t>
  </si>
  <si>
    <t>Croydon services</t>
  </si>
  <si>
    <t>Croydon adult social care precept</t>
  </si>
  <si>
    <t>GLA precept</t>
  </si>
  <si>
    <t>Overall tax 2025/26</t>
  </si>
  <si>
    <t>A</t>
  </si>
  <si>
    <t> £1,132.65 </t>
  </si>
  <si>
    <t>£194.09 </t>
  </si>
  <si>
    <t>£326.92 </t>
  </si>
  <si>
    <t>B</t>
  </si>
  <si>
    <t>£1,321.42 </t>
  </si>
  <si>
    <t>£226.43 </t>
  </si>
  <si>
    <t>C</t>
  </si>
  <si>
    <t>£1,510.20 </t>
  </si>
  <si>
    <t>£258.78 </t>
  </si>
  <si>
    <t>£435.89 </t>
  </si>
  <si>
    <t>D</t>
  </si>
  <si>
    <t>£1,698.97 </t>
  </si>
  <si>
    <t>£291.13 </t>
  </si>
  <si>
    <t>£490.38 </t>
  </si>
  <si>
    <t>E</t>
  </si>
  <si>
    <t>£2,076.52 </t>
  </si>
  <si>
    <t>£355.83 </t>
  </si>
  <si>
    <t>£599.35 </t>
  </si>
  <si>
    <t>F</t>
  </si>
  <si>
    <t>£2,454.07 </t>
  </si>
  <si>
    <t>£420.52 </t>
  </si>
  <si>
    <t>£708.33 </t>
  </si>
  <si>
    <t>G</t>
  </si>
  <si>
    <t>£2,831.62 </t>
  </si>
  <si>
    <t>£485.22 </t>
  </si>
  <si>
    <t>£817.30 </t>
  </si>
  <si>
    <t>H</t>
  </si>
  <si>
    <t>£3,397.94 </t>
  </si>
  <si>
    <t>£582.26 </t>
  </si>
  <si>
    <t>£980.76 </t>
  </si>
  <si>
    <t>Council Tax bands in England (based on 1 April 1991 values)</t>
  </si>
  <si>
    <t>Value at 1 April 1991</t>
  </si>
  <si>
    <t>up to £40,000</t>
  </si>
  <si>
    <t>£40,001 to £52,000</t>
  </si>
  <si>
    <t>£52,001 to £68,000</t>
  </si>
  <si>
    <t>£68,001 to £88,000</t>
  </si>
  <si>
    <t>£88,001 to £120,000</t>
  </si>
  <si>
    <t>£120,001 to £160,000</t>
  </si>
  <si>
    <t>£160,001 to £320,000</t>
  </si>
  <si>
    <t>more than £320,000</t>
  </si>
  <si>
    <t>https://www.mycounciltax.org.uk/content/index</t>
  </si>
  <si>
    <t>to deduct value of cell C57</t>
  </si>
  <si>
    <t>Utility &amp; Food Costs</t>
  </si>
  <si>
    <t>Utilities</t>
  </si>
  <si>
    <t>Food</t>
  </si>
  <si>
    <t>Utility &amp; Food Total</t>
  </si>
  <si>
    <t xml:space="preserve">ADD BACK IN THE NOTIONAL RENT </t>
  </si>
  <si>
    <t>TYPE NUMBER (DIVIDE)</t>
  </si>
  <si>
    <t>Schools</t>
  </si>
  <si>
    <t>2026-27 Annual Fees</t>
  </si>
  <si>
    <t>TS</t>
  </si>
  <si>
    <t>WS</t>
  </si>
  <si>
    <t>use this line by default</t>
  </si>
  <si>
    <t>DEDUCT ANNUAL COUNCIL TAX (from tab- default one)</t>
  </si>
  <si>
    <t>HNDI after NS</t>
  </si>
  <si>
    <t>either C49 cell total is below £0 and therefore no bursary is needed</t>
  </si>
  <si>
    <t>Description</t>
  </si>
  <si>
    <t>Category</t>
  </si>
  <si>
    <t>Renting, does not own a property</t>
  </si>
  <si>
    <t>Owns a property &lt; £360K &amp; paying a mortgage</t>
  </si>
  <si>
    <t>Owns a property worth between £360K &amp; £500K  &amp; paying a mortgage</t>
  </si>
  <si>
    <t>Owns a property worth &lt;£360K &amp; fully paid</t>
  </si>
  <si>
    <t>Owns a property worth between £360K &amp; £500K  &amp; fully paid</t>
  </si>
  <si>
    <t>Owns a property worth between £500K &amp; £800K</t>
  </si>
  <si>
    <t>Owns a property portfolio* worth between £500K &amp; £800K</t>
  </si>
  <si>
    <t>Owns a property portfolio worth between £800K &amp; £1m</t>
  </si>
  <si>
    <t>Owns a property portfolio worth between £1m &amp; £1.2m</t>
  </si>
  <si>
    <t>Owns a property portfolio worth between £1.2m &amp; £1.5m</t>
  </si>
  <si>
    <t>Owns a property portfolio worth between £1.5m &amp; £1.8m</t>
  </si>
  <si>
    <t>Owns a property portfolio worth more than £1.8m</t>
  </si>
  <si>
    <t>(* property portfolio = at least 2 properties)</t>
  </si>
  <si>
    <t>ANNUAL SCHOOL FEES - HNDI after NS (C48 - C45)</t>
  </si>
  <si>
    <t>either C49 cell total is above £0 and therefore the required bursary award is that positive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</si>
</sst>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;[Red]\-&quot;£&quot;#,##0.00"/>
    <numFmt numFmtId="168" formatCode="&quot;£&quot;#,##0"/>
  </numFmts>
  <fonts count="1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b/>
      <u/>
      <sz val="10"/>
      <color rgb="FF0070C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5">
    <xf numFmtId="0" fontId="0" fillId="0" borderId="0" xfId="0"/>
    <xf numFmtId="0" fontId="3" fillId="2" borderId="0" xfId="0" applyFont="1" applyFill="1"/>
    <xf numFmtId="0" fontId="4" fillId="2" borderId="0" xfId="0" applyFont="1" applyFill="1" applyAlignment="1">
      <alignment horizontal="center"/>
    </xf>
    <xf numFmtId="8" fontId="4" fillId="2" borderId="0" xfId="0" applyNumberFormat="1" applyFont="1" applyFill="1" applyAlignment="1">
      <alignment horizontal="center"/>
    </xf>
    <xf numFmtId="0" fontId="3" fillId="0" borderId="0" xfId="0" applyFont="1"/>
    <xf numFmtId="0" fontId="4" fillId="0" borderId="0" xfId="0" applyFont="1"/>
    <xf numFmtId="8" fontId="3" fillId="0" borderId="0" xfId="0" applyNumberFormat="1" applyFont="1"/>
    <xf numFmtId="0" fontId="3" fillId="0" borderId="0" xfId="0" applyFont="1" applyAlignment="1">
      <alignment horizontal="left"/>
    </xf>
    <xf numFmtId="8" fontId="3" fillId="0" borderId="1" xfId="0" applyNumberFormat="1" applyFont="1" applyBorder="1" applyAlignment="1">
      <alignment horizontal="center"/>
    </xf>
    <xf numFmtId="8" fontId="3" fillId="0" borderId="1" xfId="0" applyNumberFormat="1" applyFont="1" applyBorder="1"/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3" borderId="2" xfId="0" applyFont="1" applyFill="1" applyBorder="1" applyAlignment="1">
      <alignment horizontal="center"/>
    </xf>
    <xf numFmtId="8" fontId="4" fillId="3" borderId="3" xfId="0" applyNumberFormat="1" applyFont="1" applyFill="1" applyBorder="1" applyAlignment="1">
      <alignment horizontal="center"/>
    </xf>
    <xf numFmtId="0" fontId="4" fillId="2" borderId="0" xfId="0" applyFont="1" applyFill="1"/>
    <xf numFmtId="8" fontId="4" fillId="2" borderId="0" xfId="0" applyNumberFormat="1" applyFont="1" applyFill="1"/>
    <xf numFmtId="0" fontId="4" fillId="0" borderId="0" xfId="0" applyFont="1" applyAlignment="1">
      <alignment horizontal="center"/>
    </xf>
    <xf numFmtId="8" fontId="4" fillId="0" borderId="0" xfId="0" applyNumberFormat="1" applyFont="1"/>
    <xf numFmtId="8" fontId="4" fillId="0" borderId="1" xfId="0" applyNumberFormat="1" applyFont="1" applyBorder="1"/>
    <xf numFmtId="8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8" fontId="4" fillId="3" borderId="4" xfId="0" applyNumberFormat="1" applyFont="1" applyFill="1" applyBorder="1" applyAlignment="1">
      <alignment horizontal="center"/>
    </xf>
    <xf numFmtId="8" fontId="3" fillId="2" borderId="0" xfId="0" applyNumberFormat="1" applyFont="1" applyFill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0" xfId="0" applyFont="1"/>
    <xf numFmtId="0" fontId="4" fillId="3" borderId="1" xfId="0" applyFont="1" applyFill="1" applyBorder="1" applyAlignment="1">
      <alignment horizontal="center" wrapText="1"/>
    </xf>
    <xf numFmtId="8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9" fillId="0" borderId="0" xfId="1"/>
    <xf numFmtId="0" fontId="0" fillId="4" borderId="0" xfId="0" applyFill="1" applyAlignment="1">
      <alignment horizontal="center"/>
    </xf>
    <xf numFmtId="0" fontId="0" fillId="4" borderId="0" xfId="0" applyFill="1"/>
    <xf numFmtId="0" fontId="8" fillId="0" borderId="0" xfId="0" applyFont="1" applyAlignment="1">
      <alignment wrapText="1"/>
    </xf>
    <xf numFmtId="0" fontId="4" fillId="3" borderId="5" xfId="0" applyFont="1" applyFill="1" applyBorder="1" applyAlignment="1">
      <alignment horizontal="center" wrapText="1"/>
    </xf>
    <xf numFmtId="168" fontId="3" fillId="0" borderId="1" xfId="0" applyNumberFormat="1" applyFont="1" applyBorder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1" fillId="4" borderId="0" xfId="0" applyFont="1" applyFill="1"/>
    <xf numFmtId="0" fontId="2" fillId="0" borderId="0" xfId="0" applyFont="1"/>
    <xf numFmtId="168" fontId="2" fillId="0" borderId="1" xfId="0" applyNumberFormat="1" applyFont="1" applyBorder="1" applyAlignment="1">
      <alignment horizontal="center"/>
    </xf>
    <xf numFmtId="168" fontId="2" fillId="4" borderId="1" xfId="0" applyNumberFormat="1" applyFont="1" applyFill="1" applyBorder="1" applyAlignment="1">
      <alignment horizontal="center"/>
    </xf>
    <xf numFmtId="0" fontId="3" fillId="0" borderId="0" xfId="0" applyFont="1" applyFill="1"/>
    <xf numFmtId="0" fontId="4" fillId="0" borderId="0" xfId="0" applyFont="1" applyFill="1" applyBorder="1" applyAlignment="1">
      <alignment horizontal="center"/>
    </xf>
    <xf numFmtId="8" fontId="4" fillId="0" borderId="0" xfId="0" applyNumberFormat="1" applyFont="1" applyFill="1" applyBorder="1" applyAlignment="1">
      <alignment horizontal="center"/>
    </xf>
    <xf numFmtId="8" fontId="4" fillId="4" borderId="1" xfId="0" applyNumberFormat="1" applyFont="1" applyFill="1" applyBorder="1" applyAlignment="1">
      <alignment horizontal="center"/>
    </xf>
    <xf numFmtId="0" fontId="2" fillId="3" borderId="6" xfId="0" applyFont="1" applyFill="1" applyBorder="1"/>
    <xf numFmtId="0" fontId="2" fillId="3" borderId="7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10" fillId="0" borderId="1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48</xdr:row>
      <xdr:rowOff>95250</xdr:rowOff>
    </xdr:from>
    <xdr:to>
      <xdr:col>4</xdr:col>
      <xdr:colOff>219075</xdr:colOff>
      <xdr:row>48</xdr:row>
      <xdr:rowOff>95250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9FBF29C-80E9-0F56-89FB-C26AF6707D84}"/>
            </a:ext>
          </a:extLst>
        </xdr:cNvPr>
        <xdr:cNvCxnSpPr/>
      </xdr:nvCxnSpPr>
      <xdr:spPr>
        <a:xfrm>
          <a:off x="8858250" y="8553450"/>
          <a:ext cx="12287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ycounciltax.org.uk/content/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F0111-84A4-4FD0-AA41-CEA0FE2135EA}">
  <dimension ref="A2:F51"/>
  <sheetViews>
    <sheetView tabSelected="1" workbookViewId="0">
      <selection activeCell="B58" sqref="B58"/>
    </sheetView>
  </sheetViews>
  <sheetFormatPr defaultColWidth="8.7109375" defaultRowHeight="13.5" x14ac:dyDescent="0.25"/>
  <cols>
    <col min="1" max="1" width="55.5703125" style="4" customWidth="1"/>
    <col min="2" max="2" width="53.140625" style="4" customWidth="1"/>
    <col min="3" max="3" width="20.140625" style="6" customWidth="1"/>
    <col min="4" max="4" width="19.140625" style="4" customWidth="1"/>
    <col min="5" max="16384" width="8.7109375" style="4"/>
  </cols>
  <sheetData>
    <row r="2" spans="1:4" x14ac:dyDescent="0.25">
      <c r="A2" s="1"/>
      <c r="B2" s="2" t="s">
        <v>0</v>
      </c>
      <c r="C2" s="3" t="s">
        <v>1</v>
      </c>
      <c r="D2" s="2" t="s">
        <v>2</v>
      </c>
    </row>
    <row r="3" spans="1:4" x14ac:dyDescent="0.25">
      <c r="A3" s="5"/>
    </row>
    <row r="4" spans="1:4" x14ac:dyDescent="0.25">
      <c r="A4" s="4" t="s">
        <v>3</v>
      </c>
      <c r="B4" s="7" t="s">
        <v>4</v>
      </c>
      <c r="C4" s="8">
        <v>0</v>
      </c>
      <c r="D4" s="8">
        <v>0</v>
      </c>
    </row>
    <row r="5" spans="1:4" x14ac:dyDescent="0.25">
      <c r="A5" s="4" t="s">
        <v>5</v>
      </c>
      <c r="B5" s="7" t="s">
        <v>6</v>
      </c>
      <c r="C5" s="9"/>
      <c r="D5" s="9"/>
    </row>
    <row r="6" spans="1:4" x14ac:dyDescent="0.25">
      <c r="A6" s="4" t="s">
        <v>7</v>
      </c>
      <c r="B6" s="4" t="s">
        <v>8</v>
      </c>
      <c r="C6" s="9"/>
      <c r="D6" s="9"/>
    </row>
    <row r="7" spans="1:4" ht="27" x14ac:dyDescent="0.25">
      <c r="A7" s="10" t="s">
        <v>9</v>
      </c>
      <c r="B7" s="4" t="s">
        <v>10</v>
      </c>
      <c r="C7" s="9"/>
      <c r="D7" s="9"/>
    </row>
    <row r="8" spans="1:4" x14ac:dyDescent="0.25">
      <c r="B8" s="4" t="s">
        <v>11</v>
      </c>
      <c r="C8" s="9"/>
      <c r="D8" s="9"/>
    </row>
    <row r="9" spans="1:4" x14ac:dyDescent="0.25">
      <c r="B9" s="4" t="s">
        <v>12</v>
      </c>
      <c r="C9" s="9"/>
      <c r="D9" s="9"/>
    </row>
    <row r="10" spans="1:4" x14ac:dyDescent="0.25">
      <c r="B10" s="4" t="s">
        <v>13</v>
      </c>
      <c r="C10" s="9"/>
      <c r="D10" s="9"/>
    </row>
    <row r="11" spans="1:4" x14ac:dyDescent="0.25">
      <c r="B11" s="4" t="s">
        <v>14</v>
      </c>
      <c r="D11" s="6"/>
    </row>
    <row r="12" spans="1:4" x14ac:dyDescent="0.25">
      <c r="A12" s="4" t="s">
        <v>15</v>
      </c>
      <c r="B12" s="4" t="s">
        <v>16</v>
      </c>
      <c r="C12" s="9"/>
      <c r="D12" s="9"/>
    </row>
    <row r="13" spans="1:4" x14ac:dyDescent="0.25">
      <c r="B13" s="4" t="s">
        <v>17</v>
      </c>
      <c r="C13" s="9"/>
      <c r="D13" s="9"/>
    </row>
    <row r="14" spans="1:4" x14ac:dyDescent="0.25">
      <c r="A14" s="11" t="s">
        <v>18</v>
      </c>
      <c r="B14" s="4" t="s">
        <v>19</v>
      </c>
      <c r="C14" s="9"/>
      <c r="D14" s="9"/>
    </row>
    <row r="15" spans="1:4" x14ac:dyDescent="0.25">
      <c r="A15" s="11"/>
      <c r="D15" s="6"/>
    </row>
    <row r="16" spans="1:4" x14ac:dyDescent="0.25">
      <c r="A16" s="11" t="s">
        <v>20</v>
      </c>
      <c r="B16" s="4" t="s">
        <v>21</v>
      </c>
      <c r="C16" s="9"/>
      <c r="D16" s="9"/>
    </row>
    <row r="17" spans="1:4" x14ac:dyDescent="0.25">
      <c r="A17" s="10"/>
    </row>
    <row r="18" spans="1:4" x14ac:dyDescent="0.25">
      <c r="A18" s="11" t="s">
        <v>22</v>
      </c>
      <c r="B18" s="4" t="s">
        <v>23</v>
      </c>
      <c r="C18" s="9"/>
      <c r="D18" s="9"/>
    </row>
    <row r="19" spans="1:4" ht="14.25" thickBot="1" x14ac:dyDescent="0.3"/>
    <row r="20" spans="1:4" ht="14.25" thickBot="1" x14ac:dyDescent="0.3">
      <c r="B20" s="12" t="s">
        <v>24</v>
      </c>
      <c r="C20" s="13" t="s">
        <v>25</v>
      </c>
    </row>
    <row r="22" spans="1:4" x14ac:dyDescent="0.25">
      <c r="A22" s="14"/>
      <c r="B22" s="2" t="s">
        <v>26</v>
      </c>
      <c r="C22" s="15"/>
      <c r="D22" s="14"/>
    </row>
    <row r="23" spans="1:4" x14ac:dyDescent="0.25">
      <c r="A23" s="5"/>
      <c r="B23" s="16"/>
      <c r="C23" s="17"/>
      <c r="D23" s="5"/>
    </row>
    <row r="24" spans="1:4" x14ac:dyDescent="0.25">
      <c r="A24" s="5" t="s">
        <v>27</v>
      </c>
      <c r="B24" s="7" t="s">
        <v>28</v>
      </c>
      <c r="C24" s="18"/>
      <c r="D24" s="5"/>
    </row>
    <row r="25" spans="1:4" x14ac:dyDescent="0.25">
      <c r="A25" s="5"/>
      <c r="B25" s="16"/>
      <c r="C25" s="17"/>
      <c r="D25" s="5"/>
    </row>
    <row r="26" spans="1:4" x14ac:dyDescent="0.25">
      <c r="A26" s="5" t="s">
        <v>29</v>
      </c>
      <c r="B26" s="4" t="s">
        <v>30</v>
      </c>
      <c r="C26" s="19" t="s">
        <v>25</v>
      </c>
    </row>
    <row r="27" spans="1:4" x14ac:dyDescent="0.25">
      <c r="A27" s="11" t="s">
        <v>31</v>
      </c>
      <c r="B27" s="4" t="s">
        <v>111</v>
      </c>
      <c r="C27" s="9"/>
    </row>
    <row r="28" spans="1:4" x14ac:dyDescent="0.25">
      <c r="A28" s="4" t="s">
        <v>32</v>
      </c>
      <c r="B28" s="4" t="s">
        <v>33</v>
      </c>
      <c r="C28" s="9"/>
    </row>
    <row r="29" spans="1:4" x14ac:dyDescent="0.25">
      <c r="B29" s="4" t="s">
        <v>118</v>
      </c>
      <c r="C29" s="9"/>
    </row>
    <row r="31" spans="1:4" x14ac:dyDescent="0.25">
      <c r="A31" s="5" t="s">
        <v>34</v>
      </c>
    </row>
    <row r="32" spans="1:4" x14ac:dyDescent="0.25">
      <c r="A32" s="4" t="s">
        <v>35</v>
      </c>
      <c r="B32" s="4" t="s">
        <v>36</v>
      </c>
      <c r="C32" s="9"/>
    </row>
    <row r="33" spans="1:4" x14ac:dyDescent="0.25">
      <c r="A33" s="4" t="s">
        <v>37</v>
      </c>
      <c r="B33" s="4" t="s">
        <v>36</v>
      </c>
      <c r="C33" s="9"/>
    </row>
    <row r="34" spans="1:4" x14ac:dyDescent="0.25">
      <c r="A34" s="4" t="s">
        <v>38</v>
      </c>
      <c r="B34" s="4" t="s">
        <v>112</v>
      </c>
      <c r="C34" s="9"/>
    </row>
    <row r="35" spans="1:4" x14ac:dyDescent="0.25">
      <c r="A35" s="4" t="s">
        <v>39</v>
      </c>
      <c r="B35" s="4" t="s">
        <v>112</v>
      </c>
      <c r="C35" s="9"/>
    </row>
    <row r="36" spans="1:4" x14ac:dyDescent="0.25">
      <c r="B36" s="7" t="s">
        <v>40</v>
      </c>
      <c r="C36" s="19" t="s">
        <v>25</v>
      </c>
    </row>
    <row r="37" spans="1:4" ht="14.25" thickBot="1" x14ac:dyDescent="0.3"/>
    <row r="38" spans="1:4" ht="14.25" thickBot="1" x14ac:dyDescent="0.3">
      <c r="B38" s="12" t="s">
        <v>41</v>
      </c>
      <c r="C38" s="21" t="s">
        <v>25</v>
      </c>
    </row>
    <row r="40" spans="1:4" x14ac:dyDescent="0.25">
      <c r="A40" s="1"/>
      <c r="B40" s="2" t="s">
        <v>42</v>
      </c>
      <c r="C40" s="22"/>
      <c r="D40" s="1"/>
    </row>
    <row r="41" spans="1:4" x14ac:dyDescent="0.25">
      <c r="B41" s="7"/>
    </row>
    <row r="42" spans="1:4" x14ac:dyDescent="0.25">
      <c r="A42" s="5" t="s">
        <v>27</v>
      </c>
      <c r="B42" s="7"/>
      <c r="C42" s="17"/>
      <c r="D42" s="5"/>
    </row>
    <row r="43" spans="1:4" x14ac:dyDescent="0.25">
      <c r="A43" s="4" t="s">
        <v>43</v>
      </c>
      <c r="B43" s="7" t="s">
        <v>44</v>
      </c>
      <c r="C43" s="19" t="s">
        <v>25</v>
      </c>
    </row>
    <row r="44" spans="1:4" ht="14.25" thickBot="1" x14ac:dyDescent="0.3"/>
    <row r="45" spans="1:4" ht="14.25" thickBot="1" x14ac:dyDescent="0.3">
      <c r="B45" s="12" t="s">
        <v>119</v>
      </c>
      <c r="C45" s="21" t="s">
        <v>25</v>
      </c>
    </row>
    <row r="46" spans="1:4" s="44" customFormat="1" x14ac:dyDescent="0.25">
      <c r="B46" s="45"/>
      <c r="C46" s="46"/>
    </row>
    <row r="47" spans="1:4" x14ac:dyDescent="0.25">
      <c r="A47" s="1"/>
      <c r="B47" s="2" t="s">
        <v>45</v>
      </c>
      <c r="C47" s="22"/>
      <c r="D47" s="1"/>
    </row>
    <row r="48" spans="1:4" x14ac:dyDescent="0.25">
      <c r="B48" s="23" t="s">
        <v>46</v>
      </c>
      <c r="C48" s="19" t="s">
        <v>25</v>
      </c>
    </row>
    <row r="49" spans="2:6" x14ac:dyDescent="0.25">
      <c r="B49" s="23" t="s">
        <v>136</v>
      </c>
      <c r="C49" s="47" t="s">
        <v>25</v>
      </c>
      <c r="F49" s="4" t="s">
        <v>120</v>
      </c>
    </row>
    <row r="50" spans="2:6" ht="15" customHeight="1" x14ac:dyDescent="0.25">
      <c r="B50" s="24"/>
      <c r="C50" s="22"/>
      <c r="F50" s="4" t="s">
        <v>137</v>
      </c>
    </row>
    <row r="51" spans="2:6" x14ac:dyDescent="0.25">
      <c r="B51" s="23" t="s">
        <v>47</v>
      </c>
      <c r="C51" s="19" t="s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25A6C-C005-41FC-895C-C8B2D0F5944A}">
  <dimension ref="B2:C16"/>
  <sheetViews>
    <sheetView workbookViewId="0">
      <selection activeCell="C25" sqref="C25"/>
    </sheetView>
  </sheetViews>
  <sheetFormatPr defaultRowHeight="15" x14ac:dyDescent="0.25"/>
  <cols>
    <col min="2" max="2" width="64.140625" customWidth="1"/>
    <col min="3" max="3" width="20.140625" customWidth="1"/>
  </cols>
  <sheetData>
    <row r="2" spans="2:3" ht="15.75" thickBot="1" x14ac:dyDescent="0.3"/>
    <row r="3" spans="2:3" ht="15.75" thickBot="1" x14ac:dyDescent="0.3">
      <c r="B3" s="48" t="s">
        <v>121</v>
      </c>
      <c r="C3" s="49" t="s">
        <v>122</v>
      </c>
    </row>
    <row r="4" spans="2:3" x14ac:dyDescent="0.25">
      <c r="B4" s="50" t="s">
        <v>123</v>
      </c>
      <c r="C4" s="51">
        <v>1</v>
      </c>
    </row>
    <row r="5" spans="2:3" x14ac:dyDescent="0.25">
      <c r="B5" s="52" t="s">
        <v>124</v>
      </c>
      <c r="C5" s="53">
        <v>2</v>
      </c>
    </row>
    <row r="6" spans="2:3" x14ac:dyDescent="0.25">
      <c r="B6" s="52" t="s">
        <v>125</v>
      </c>
      <c r="C6" s="53">
        <v>3</v>
      </c>
    </row>
    <row r="7" spans="2:3" x14ac:dyDescent="0.25">
      <c r="B7" s="52" t="s">
        <v>126</v>
      </c>
      <c r="C7" s="53">
        <v>4</v>
      </c>
    </row>
    <row r="8" spans="2:3" x14ac:dyDescent="0.25">
      <c r="B8" s="52" t="s">
        <v>127</v>
      </c>
      <c r="C8" s="53">
        <v>5</v>
      </c>
    </row>
    <row r="9" spans="2:3" x14ac:dyDescent="0.25">
      <c r="B9" s="52" t="s">
        <v>128</v>
      </c>
      <c r="C9" s="53">
        <v>6</v>
      </c>
    </row>
    <row r="10" spans="2:3" x14ac:dyDescent="0.25">
      <c r="B10" s="52" t="s">
        <v>129</v>
      </c>
      <c r="C10" s="53">
        <v>7</v>
      </c>
    </row>
    <row r="11" spans="2:3" x14ac:dyDescent="0.25">
      <c r="B11" s="52" t="s">
        <v>130</v>
      </c>
      <c r="C11" s="53">
        <v>8</v>
      </c>
    </row>
    <row r="12" spans="2:3" x14ac:dyDescent="0.25">
      <c r="B12" s="52" t="s">
        <v>131</v>
      </c>
      <c r="C12" s="53">
        <v>9</v>
      </c>
    </row>
    <row r="13" spans="2:3" x14ac:dyDescent="0.25">
      <c r="B13" s="52" t="s">
        <v>132</v>
      </c>
      <c r="C13" s="53">
        <v>10</v>
      </c>
    </row>
    <row r="14" spans="2:3" x14ac:dyDescent="0.25">
      <c r="B14" s="52" t="s">
        <v>133</v>
      </c>
      <c r="C14" s="53">
        <v>11</v>
      </c>
    </row>
    <row r="15" spans="2:3" x14ac:dyDescent="0.25">
      <c r="B15" s="52" t="s">
        <v>134</v>
      </c>
      <c r="C15" s="53">
        <v>12</v>
      </c>
    </row>
    <row r="16" spans="2:3" x14ac:dyDescent="0.25">
      <c r="B16" s="54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DCADA-2D32-41D0-9267-9B9BB83CDB40}">
  <dimension ref="A1:G18"/>
  <sheetViews>
    <sheetView workbookViewId="0">
      <selection activeCell="C24" sqref="C24"/>
    </sheetView>
  </sheetViews>
  <sheetFormatPr defaultRowHeight="15" x14ac:dyDescent="0.25"/>
  <cols>
    <col min="1" max="1" width="33.140625" customWidth="1"/>
    <col min="2" max="7" width="27.5703125" customWidth="1"/>
  </cols>
  <sheetData>
    <row r="1" spans="1:7" x14ac:dyDescent="0.25">
      <c r="A1" s="26" t="s">
        <v>48</v>
      </c>
      <c r="B1" s="4"/>
      <c r="C1" s="4"/>
      <c r="D1" s="4"/>
      <c r="E1" s="4"/>
      <c r="F1" s="4"/>
      <c r="G1" s="4"/>
    </row>
    <row r="2" spans="1:7" ht="54" x14ac:dyDescent="0.25">
      <c r="A2" s="4"/>
      <c r="B2" s="27" t="s">
        <v>49</v>
      </c>
      <c r="C2" s="27" t="s">
        <v>50</v>
      </c>
      <c r="D2" s="27" t="s">
        <v>51</v>
      </c>
      <c r="E2" s="27" t="s">
        <v>52</v>
      </c>
      <c r="F2" s="27" t="s">
        <v>53</v>
      </c>
      <c r="G2" s="27" t="s">
        <v>54</v>
      </c>
    </row>
    <row r="3" spans="1:7" x14ac:dyDescent="0.25">
      <c r="A3" s="5" t="s">
        <v>55</v>
      </c>
      <c r="B3" s="25">
        <v>1</v>
      </c>
      <c r="C3" s="25">
        <v>2</v>
      </c>
      <c r="D3" s="25">
        <v>3</v>
      </c>
      <c r="E3" s="25">
        <v>4</v>
      </c>
      <c r="F3" s="25">
        <v>5</v>
      </c>
      <c r="G3" s="25">
        <v>6</v>
      </c>
    </row>
    <row r="4" spans="1:7" x14ac:dyDescent="0.25">
      <c r="A4" s="5" t="s">
        <v>56</v>
      </c>
      <c r="B4" s="19">
        <v>13000</v>
      </c>
      <c r="C4" s="19">
        <v>15000</v>
      </c>
      <c r="D4" s="19">
        <v>18000</v>
      </c>
      <c r="E4" s="19">
        <v>20000</v>
      </c>
      <c r="F4" s="19">
        <v>23000</v>
      </c>
      <c r="G4" s="19">
        <v>26000</v>
      </c>
    </row>
    <row r="8" spans="1:7" s="4" customFormat="1" ht="13.5" x14ac:dyDescent="0.25">
      <c r="A8" s="33" t="s">
        <v>106</v>
      </c>
    </row>
    <row r="9" spans="1:7" s="4" customFormat="1" ht="13.5" x14ac:dyDescent="0.25">
      <c r="A9" s="34" t="s">
        <v>107</v>
      </c>
      <c r="B9" s="16"/>
      <c r="C9" s="16"/>
      <c r="D9" s="16"/>
      <c r="E9" s="16"/>
      <c r="F9" s="16"/>
      <c r="G9" s="16"/>
    </row>
    <row r="10" spans="1:7" s="4" customFormat="1" ht="13.5" x14ac:dyDescent="0.25">
      <c r="A10" s="5" t="s">
        <v>55</v>
      </c>
      <c r="B10" s="20">
        <v>1</v>
      </c>
      <c r="C10" s="20">
        <v>2</v>
      </c>
      <c r="D10" s="20">
        <v>3</v>
      </c>
      <c r="E10" s="20">
        <v>4</v>
      </c>
      <c r="F10" s="20">
        <v>5</v>
      </c>
      <c r="G10" s="20">
        <v>6</v>
      </c>
    </row>
    <row r="11" spans="1:7" s="4" customFormat="1" ht="13.5" x14ac:dyDescent="0.25">
      <c r="A11" s="25" t="s">
        <v>108</v>
      </c>
      <c r="B11" s="35">
        <v>1200</v>
      </c>
      <c r="C11" s="35">
        <v>1500</v>
      </c>
      <c r="D11" s="35">
        <v>2000</v>
      </c>
      <c r="E11" s="35">
        <v>2500</v>
      </c>
      <c r="F11" s="35">
        <v>3000</v>
      </c>
      <c r="G11" s="35">
        <v>3300</v>
      </c>
    </row>
    <row r="12" spans="1:7" s="4" customFormat="1" ht="13.5" x14ac:dyDescent="0.25">
      <c r="A12" s="25" t="s">
        <v>109</v>
      </c>
      <c r="B12" s="35">
        <v>5000</v>
      </c>
      <c r="C12" s="35">
        <v>7500</v>
      </c>
      <c r="D12" s="35">
        <v>8500</v>
      </c>
      <c r="E12" s="35">
        <v>9500</v>
      </c>
      <c r="F12" s="35">
        <v>10500</v>
      </c>
      <c r="G12" s="35">
        <v>12000</v>
      </c>
    </row>
    <row r="13" spans="1:7" s="4" customFormat="1" ht="13.5" x14ac:dyDescent="0.25">
      <c r="A13" s="20" t="s">
        <v>110</v>
      </c>
      <c r="B13" s="36">
        <f>SUM(B11:B12)</f>
        <v>6200</v>
      </c>
      <c r="C13" s="36">
        <f t="shared" ref="C13:G13" si="0">SUM(C11:C12)</f>
        <v>9000</v>
      </c>
      <c r="D13" s="36">
        <f t="shared" si="0"/>
        <v>10500</v>
      </c>
      <c r="E13" s="36">
        <f t="shared" si="0"/>
        <v>12000</v>
      </c>
      <c r="F13" s="36">
        <f t="shared" si="0"/>
        <v>13500</v>
      </c>
      <c r="G13" s="36">
        <f t="shared" si="0"/>
        <v>15300</v>
      </c>
    </row>
    <row r="16" spans="1:7" x14ac:dyDescent="0.25">
      <c r="A16" s="38" t="s">
        <v>113</v>
      </c>
      <c r="B16" s="38" t="s">
        <v>114</v>
      </c>
    </row>
    <row r="17" spans="1:2" x14ac:dyDescent="0.25">
      <c r="A17" s="37" t="s">
        <v>115</v>
      </c>
      <c r="B17" s="39">
        <v>30702</v>
      </c>
    </row>
    <row r="18" spans="1:2" x14ac:dyDescent="0.25">
      <c r="A18" s="37" t="s">
        <v>116</v>
      </c>
      <c r="B18" s="39">
        <v>31752</v>
      </c>
    </row>
  </sheetData>
  <pageMargins left="0.7" right="0.7" top="0.75" bottom="0.75" header="0.3" footer="0.3"/>
  <ignoredErrors>
    <ignoredError sqref="B13:G1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2E6AF-109D-48D7-86C2-08FB7CCB38F8}">
  <dimension ref="B1:G27"/>
  <sheetViews>
    <sheetView workbookViewId="0">
      <selection activeCell="F24" sqref="F24"/>
    </sheetView>
  </sheetViews>
  <sheetFormatPr defaultRowHeight="15" x14ac:dyDescent="0.25"/>
  <cols>
    <col min="2" max="2" width="23.85546875" customWidth="1"/>
    <col min="3" max="3" width="25.140625" customWidth="1"/>
    <col min="4" max="4" width="37" customWidth="1"/>
    <col min="5" max="5" width="19.5703125" customWidth="1"/>
    <col min="6" max="7" width="28.140625" customWidth="1"/>
  </cols>
  <sheetData>
    <row r="1" spans="2:7" x14ac:dyDescent="0.25">
      <c r="B1" s="41" t="s">
        <v>57</v>
      </c>
    </row>
    <row r="3" spans="2:7" x14ac:dyDescent="0.25">
      <c r="B3" t="s">
        <v>58</v>
      </c>
    </row>
    <row r="4" spans="2:7" x14ac:dyDescent="0.25">
      <c r="B4" s="29" t="s">
        <v>59</v>
      </c>
      <c r="C4" t="s">
        <v>60</v>
      </c>
      <c r="D4" t="s">
        <v>61</v>
      </c>
      <c r="E4" t="s">
        <v>62</v>
      </c>
      <c r="F4" s="38" t="s">
        <v>63</v>
      </c>
    </row>
    <row r="5" spans="2:7" x14ac:dyDescent="0.25">
      <c r="B5" s="29" t="s">
        <v>64</v>
      </c>
      <c r="C5" t="s">
        <v>65</v>
      </c>
      <c r="D5" t="s">
        <v>66</v>
      </c>
      <c r="E5" t="s">
        <v>67</v>
      </c>
      <c r="F5" s="42">
        <v>1654</v>
      </c>
    </row>
    <row r="6" spans="2:7" x14ac:dyDescent="0.25">
      <c r="B6" s="29" t="s">
        <v>68</v>
      </c>
      <c r="C6" t="s">
        <v>69</v>
      </c>
      <c r="D6" t="s">
        <v>70</v>
      </c>
      <c r="E6" s="28">
        <v>381.41</v>
      </c>
      <c r="F6" s="42">
        <v>1930</v>
      </c>
    </row>
    <row r="7" spans="2:7" x14ac:dyDescent="0.25">
      <c r="B7" s="29" t="s">
        <v>71</v>
      </c>
      <c r="C7" t="s">
        <v>72</v>
      </c>
      <c r="D7" t="s">
        <v>73</v>
      </c>
      <c r="E7" t="s">
        <v>74</v>
      </c>
      <c r="F7" s="42">
        <v>2205</v>
      </c>
    </row>
    <row r="8" spans="2:7" x14ac:dyDescent="0.25">
      <c r="B8" s="31" t="s">
        <v>75</v>
      </c>
      <c r="C8" s="32" t="s">
        <v>76</v>
      </c>
      <c r="D8" s="32" t="s">
        <v>77</v>
      </c>
      <c r="E8" s="32" t="s">
        <v>78</v>
      </c>
      <c r="F8" s="43">
        <v>2480</v>
      </c>
      <c r="G8" s="40" t="s">
        <v>117</v>
      </c>
    </row>
    <row r="9" spans="2:7" x14ac:dyDescent="0.25">
      <c r="B9" s="29" t="s">
        <v>79</v>
      </c>
      <c r="C9" t="s">
        <v>80</v>
      </c>
      <c r="D9" t="s">
        <v>81</v>
      </c>
      <c r="E9" t="s">
        <v>82</v>
      </c>
      <c r="F9" s="42">
        <v>3032</v>
      </c>
    </row>
    <row r="10" spans="2:7" x14ac:dyDescent="0.25">
      <c r="B10" s="29" t="s">
        <v>83</v>
      </c>
      <c r="C10" t="s">
        <v>84</v>
      </c>
      <c r="D10" t="s">
        <v>85</v>
      </c>
      <c r="E10" t="s">
        <v>86</v>
      </c>
      <c r="F10" s="42">
        <v>3583</v>
      </c>
    </row>
    <row r="11" spans="2:7" x14ac:dyDescent="0.25">
      <c r="B11" s="29" t="s">
        <v>87</v>
      </c>
      <c r="C11" t="s">
        <v>88</v>
      </c>
      <c r="D11" t="s">
        <v>89</v>
      </c>
      <c r="E11" t="s">
        <v>90</v>
      </c>
      <c r="F11" s="42">
        <v>4134</v>
      </c>
    </row>
    <row r="12" spans="2:7" x14ac:dyDescent="0.25">
      <c r="B12" s="29" t="s">
        <v>91</v>
      </c>
      <c r="C12" t="s">
        <v>92</v>
      </c>
      <c r="D12" t="s">
        <v>93</v>
      </c>
      <c r="E12" t="s">
        <v>94</v>
      </c>
      <c r="F12" s="42">
        <v>4961</v>
      </c>
    </row>
    <row r="15" spans="2:7" x14ac:dyDescent="0.25">
      <c r="B15" t="s">
        <v>95</v>
      </c>
    </row>
    <row r="16" spans="2:7" x14ac:dyDescent="0.25">
      <c r="B16" t="s">
        <v>59</v>
      </c>
      <c r="C16" t="s">
        <v>96</v>
      </c>
    </row>
    <row r="17" spans="2:3" x14ac:dyDescent="0.25">
      <c r="B17" t="s">
        <v>64</v>
      </c>
      <c r="C17" t="s">
        <v>97</v>
      </c>
    </row>
    <row r="18" spans="2:3" x14ac:dyDescent="0.25">
      <c r="B18" t="s">
        <v>68</v>
      </c>
      <c r="C18" t="s">
        <v>98</v>
      </c>
    </row>
    <row r="19" spans="2:3" x14ac:dyDescent="0.25">
      <c r="B19" t="s">
        <v>71</v>
      </c>
      <c r="C19" t="s">
        <v>99</v>
      </c>
    </row>
    <row r="20" spans="2:3" x14ac:dyDescent="0.25">
      <c r="B20" t="s">
        <v>75</v>
      </c>
      <c r="C20" t="s">
        <v>100</v>
      </c>
    </row>
    <row r="21" spans="2:3" x14ac:dyDescent="0.25">
      <c r="B21" t="s">
        <v>79</v>
      </c>
      <c r="C21" t="s">
        <v>101</v>
      </c>
    </row>
    <row r="22" spans="2:3" x14ac:dyDescent="0.25">
      <c r="B22" t="s">
        <v>83</v>
      </c>
      <c r="C22" t="s">
        <v>102</v>
      </c>
    </row>
    <row r="23" spans="2:3" x14ac:dyDescent="0.25">
      <c r="B23" t="s">
        <v>87</v>
      </c>
      <c r="C23" t="s">
        <v>103</v>
      </c>
    </row>
    <row r="24" spans="2:3" x14ac:dyDescent="0.25">
      <c r="B24" t="s">
        <v>91</v>
      </c>
      <c r="C24" t="s">
        <v>104</v>
      </c>
    </row>
    <row r="27" spans="2:3" x14ac:dyDescent="0.25">
      <c r="B27" s="30" t="s">
        <v>105</v>
      </c>
    </row>
  </sheetData>
  <hyperlinks>
    <hyperlink ref="B27" r:id="rId1" xr:uid="{227B6426-AAE1-4FC3-B73C-13C94C0AA2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assessment logic</vt:lpstr>
      <vt:lpstr>property table</vt:lpstr>
      <vt:lpstr>tables</vt:lpstr>
      <vt:lpstr>Council 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Perrier</dc:creator>
  <cp:lastModifiedBy>Charlotte Perrier</cp:lastModifiedBy>
  <dcterms:created xsi:type="dcterms:W3CDTF">2026-02-20T12:49:43Z</dcterms:created>
  <dcterms:modified xsi:type="dcterms:W3CDTF">2026-02-20T13:11:17Z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4768ab-427b-4ee0-bddd-0754a4531753_Enabled">
    <vt:lpwstr>true</vt:lpwstr>
  </property>
  <property fmtid="{D5CDD505-2E9C-101B-9397-08002B2CF9AE}" pid="3" name="MSIP_Label_3f4768ab-427b-4ee0-bddd-0754a4531753_SetDate">
    <vt:lpwstr>2026-02-20T12:59:16Z</vt:lpwstr>
  </property>
  <property fmtid="{D5CDD505-2E9C-101B-9397-08002B2CF9AE}" pid="4" name="MSIP_Label_3f4768ab-427b-4ee0-bddd-0754a4531753_Method">
    <vt:lpwstr>Standard</vt:lpwstr>
  </property>
  <property fmtid="{D5CDD505-2E9C-101B-9397-08002B2CF9AE}" pid="5" name="MSIP_Label_3f4768ab-427b-4ee0-bddd-0754a4531753_Name">
    <vt:lpwstr>Public</vt:lpwstr>
  </property>
  <property fmtid="{D5CDD505-2E9C-101B-9397-08002B2CF9AE}" pid="6" name="MSIP_Label_3f4768ab-427b-4ee0-bddd-0754a4531753_SiteId">
    <vt:lpwstr>001be2fd-66ca-429d-878d-5171d0d1e068</vt:lpwstr>
  </property>
  <property fmtid="{D5CDD505-2E9C-101B-9397-08002B2CF9AE}" pid="7" name="MSIP_Label_3f4768ab-427b-4ee0-bddd-0754a4531753_ActionId">
    <vt:lpwstr>3d454541-fde6-45d3-83b3-051d8aeb8db1</vt:lpwstr>
  </property>
  <property fmtid="{D5CDD505-2E9C-101B-9397-08002B2CF9AE}" pid="8" name="MSIP_Label_3f4768ab-427b-4ee0-bddd-0754a4531753_ContentBits">
    <vt:lpwstr>0</vt:lpwstr>
  </property>
  <property fmtid="{D5CDD505-2E9C-101B-9397-08002B2CF9AE}" pid="9" name="MSIP_Label_3f4768ab-427b-4ee0-bddd-0754a4531753_Tag">
    <vt:lpwstr>10, 3, 0, 1</vt:lpwstr>
  </property>
</Properties>
</file>